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 CALENDARIO" sheetId="1" state="visible" r:id="rId3"/>
    <sheet name="📋 INSTRUCCIONES" sheetId="2" state="visible" r:id="rId4"/>
    <sheet name="Grupo A" sheetId="3" state="visible" r:id="rId5"/>
    <sheet name="Grupo B" sheetId="4" state="visible" r:id="rId6"/>
    <sheet name="Grupo C" sheetId="5" state="visible" r:id="rId7"/>
    <sheet name="Grupo D" sheetId="6" state="visible" r:id="rId8"/>
    <sheet name="Grupo E" sheetId="7" state="visible" r:id="rId9"/>
    <sheet name="Grupo F" sheetId="8" state="visible" r:id="rId10"/>
    <sheet name="Grupo G" sheetId="9" state="visible" r:id="rId11"/>
    <sheet name="Grupo H 🇪🇸" sheetId="10" state="visible" r:id="rId12"/>
    <sheet name="Grupo I" sheetId="11" state="visible" r:id="rId13"/>
    <sheet name="Grupo J" sheetId="12" state="visible" r:id="rId14"/>
    <sheet name="Grupo K" sheetId="13" state="visible" r:id="rId15"/>
    <sheet name="Grupo L" sheetId="14" state="visible" r:id="rId16"/>
    <sheet name="🗺️ CUADRO" sheetId="15" state="visible" r:id="rId17"/>
    <sheet name="🔮 ELIMINATORIAS" sheetId="16" state="visible" r:id="rId18"/>
    <sheet name="🏅 CLASIFICACIÓN"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<sst xmlns="http://schemas.openxmlformats.org/spreadsheetml/2006/main" count="1629" uniqueCount="369">
  <si>
    <t xml:space="preserve">🏆  COPA MUNDIAL FIFA 2026  —  CALENDARIO COMPLETO  ·  HORARIO PENINSULAR ESPAÑOL</t>
  </si>
  <si>
    <t xml:space="preserve">⚠️  Todos los horarios en HORA PENINSULAR ESPAÑOLA (CEST, UTC+2)  ·  Horarios de madrugada en ROJO  ·  Partidos de España en AMARILLO</t>
  </si>
  <si>
    <t xml:space="preserve">FECHA</t>
  </si>
  <si>
    <t xml:space="preserve">HORA (ESP)</t>
  </si>
  <si>
    <t xml:space="preserve">LOCAL</t>
  </si>
  <si>
    <t xml:space="preserve">VS</t>
  </si>
  <si>
    <t xml:space="preserve">VISITANTE</t>
  </si>
  <si>
    <t xml:space="preserve">SEDE</t>
  </si>
  <si>
    <t xml:space="preserve">  JORNADA 1  ·  11 al 18 de junio</t>
  </si>
  <si>
    <t xml:space="preserve">11/06</t>
  </si>
  <si>
    <t xml:space="preserve">21:00</t>
  </si>
  <si>
    <t xml:space="preserve">México</t>
  </si>
  <si>
    <t xml:space="preserve">vs</t>
  </si>
  <si>
    <t xml:space="preserve">Sudáfrica</t>
  </si>
  <si>
    <t xml:space="preserve">Est. Azteca, Ciudad de México</t>
  </si>
  <si>
    <t xml:space="preserve">12/06</t>
  </si>
  <si>
    <t xml:space="preserve">04:00</t>
  </si>
  <si>
    <t xml:space="preserve">Corea del Sur</t>
  </si>
  <si>
    <t xml:space="preserve">Rep. Checa</t>
  </si>
  <si>
    <t xml:space="preserve">Est. Akron, Guadalajara</t>
  </si>
  <si>
    <t xml:space="preserve">Canadá</t>
  </si>
  <si>
    <t xml:space="preserve">Bosnia-Herz.</t>
  </si>
  <si>
    <t xml:space="preserve">BMO Field, Toronto</t>
  </si>
  <si>
    <t xml:space="preserve">13/06</t>
  </si>
  <si>
    <t xml:space="preserve">03:00</t>
  </si>
  <si>
    <t xml:space="preserve">EE.UU.</t>
  </si>
  <si>
    <t xml:space="preserve">Paraguay</t>
  </si>
  <si>
    <t xml:space="preserve">SoFi Stadium, Los Ángeles</t>
  </si>
  <si>
    <t xml:space="preserve">06:00</t>
  </si>
  <si>
    <t xml:space="preserve">Australia</t>
  </si>
  <si>
    <t xml:space="preserve">Turquía</t>
  </si>
  <si>
    <t xml:space="preserve">BC Place, Vancouver</t>
  </si>
  <si>
    <t xml:space="preserve">Qatar</t>
  </si>
  <si>
    <t xml:space="preserve">Suiza</t>
  </si>
  <si>
    <t xml:space="preserve">Levi's Stadium, San Francisco</t>
  </si>
  <si>
    <t xml:space="preserve">14/06</t>
  </si>
  <si>
    <t xml:space="preserve">00:00</t>
  </si>
  <si>
    <t xml:space="preserve">Brasil</t>
  </si>
  <si>
    <t xml:space="preserve">Marruecos</t>
  </si>
  <si>
    <t xml:space="preserve">MetLife Stadium, Nueva York/NJ</t>
  </si>
  <si>
    <t xml:space="preserve">Haití</t>
  </si>
  <si>
    <t xml:space="preserve">Escocia</t>
  </si>
  <si>
    <t xml:space="preserve">Gillette Stadium, Boston</t>
  </si>
  <si>
    <t xml:space="preserve">19:00</t>
  </si>
  <si>
    <t xml:space="preserve">Alemania</t>
  </si>
  <si>
    <t xml:space="preserve">Curaçao</t>
  </si>
  <si>
    <t xml:space="preserve">NRG Stadium, Houston</t>
  </si>
  <si>
    <t xml:space="preserve">22:00</t>
  </si>
  <si>
    <t xml:space="preserve">Países Bajos</t>
  </si>
  <si>
    <t xml:space="preserve">Japón</t>
  </si>
  <si>
    <t xml:space="preserve">AT&amp;T Stadium, Dallas</t>
  </si>
  <si>
    <t xml:space="preserve">15/06</t>
  </si>
  <si>
    <t xml:space="preserve">01:00</t>
  </si>
  <si>
    <t xml:space="preserve">Costa de Marfil</t>
  </si>
  <si>
    <t xml:space="preserve">Ecuador</t>
  </si>
  <si>
    <t xml:space="preserve">Lincoln Financial, Filadelfia</t>
  </si>
  <si>
    <t xml:space="preserve">Túnez</t>
  </si>
  <si>
    <t xml:space="preserve">Suecia</t>
  </si>
  <si>
    <t xml:space="preserve">Est. BBVA, Monterrey</t>
  </si>
  <si>
    <t xml:space="preserve">18:00</t>
  </si>
  <si>
    <t xml:space="preserve">ESPAÑA</t>
  </si>
  <si>
    <t xml:space="preserve">CABO VERDE</t>
  </si>
  <si>
    <t xml:space="preserve">Mercedes-Benz Stadium, Atlanta</t>
  </si>
  <si>
    <t xml:space="preserve">Bélgica</t>
  </si>
  <si>
    <t xml:space="preserve">Egipto</t>
  </si>
  <si>
    <t xml:space="preserve">Hard Rock Stadium, Miami</t>
  </si>
  <si>
    <t xml:space="preserve">16/06</t>
  </si>
  <si>
    <t xml:space="preserve">Arabia Saudí</t>
  </si>
  <si>
    <t xml:space="preserve">Uruguay</t>
  </si>
  <si>
    <t xml:space="preserve">Irán</t>
  </si>
  <si>
    <t xml:space="preserve">Nueva Zelanda</t>
  </si>
  <si>
    <t xml:space="preserve">Lumen Field, Seattle</t>
  </si>
  <si>
    <t xml:space="preserve">Austria</t>
  </si>
  <si>
    <t xml:space="preserve">Jordania</t>
  </si>
  <si>
    <t xml:space="preserve">Arrowhead Stadium, Kansas City</t>
  </si>
  <si>
    <t xml:space="preserve">Francia</t>
  </si>
  <si>
    <t xml:space="preserve">Senegal</t>
  </si>
  <si>
    <t xml:space="preserve">17/06</t>
  </si>
  <si>
    <t xml:space="preserve">Irak</t>
  </si>
  <si>
    <t xml:space="preserve">Noruega</t>
  </si>
  <si>
    <t xml:space="preserve">Argentina</t>
  </si>
  <si>
    <t xml:space="preserve">Argelia</t>
  </si>
  <si>
    <t xml:space="preserve">Portugal</t>
  </si>
  <si>
    <t xml:space="preserve">R.D. Congo</t>
  </si>
  <si>
    <t xml:space="preserve">Inglaterra</t>
  </si>
  <si>
    <t xml:space="preserve">Croacia</t>
  </si>
  <si>
    <t xml:space="preserve">18/06</t>
  </si>
  <si>
    <t xml:space="preserve">Ghana</t>
  </si>
  <si>
    <t xml:space="preserve">Panamá</t>
  </si>
  <si>
    <t xml:space="preserve">Uzbekistán</t>
  </si>
  <si>
    <t xml:space="preserve">Colombia</t>
  </si>
  <si>
    <t xml:space="preserve">  JORNADA 2  ·  18 al 24 de junio</t>
  </si>
  <si>
    <t xml:space="preserve">19/06</t>
  </si>
  <si>
    <t xml:space="preserve">20/06</t>
  </si>
  <si>
    <t xml:space="preserve">21/06</t>
  </si>
  <si>
    <t xml:space="preserve">02:00</t>
  </si>
  <si>
    <t xml:space="preserve">ARABIA SAUDÍ</t>
  </si>
  <si>
    <t xml:space="preserve">22/06</t>
  </si>
  <si>
    <t xml:space="preserve">Cabo Verde</t>
  </si>
  <si>
    <t xml:space="preserve">23:00</t>
  </si>
  <si>
    <t xml:space="preserve">23/06</t>
  </si>
  <si>
    <t xml:space="preserve">05:00</t>
  </si>
  <si>
    <t xml:space="preserve">24/06</t>
  </si>
  <si>
    <t xml:space="preserve">  JORNADA 3  ·  24 al 28 de junio  ⚠️ Partidos simultáneos por grupo</t>
  </si>
  <si>
    <t xml:space="preserve">25/06</t>
  </si>
  <si>
    <t xml:space="preserve">26/06</t>
  </si>
  <si>
    <t xml:space="preserve">27/06</t>
  </si>
  <si>
    <t xml:space="preserve">URUGUAY</t>
  </si>
  <si>
    <t xml:space="preserve">Est. Akron, Guadalajara (México)</t>
  </si>
  <si>
    <t xml:space="preserve">28/06</t>
  </si>
  <si>
    <t xml:space="preserve">01:30</t>
  </si>
  <si>
    <t xml:space="preserve">  FASES ELIMINATORIAS</t>
  </si>
  <si>
    <t xml:space="preserve">28 jun–3 jul</t>
  </si>
  <si>
    <t xml:space="preserve">—</t>
  </si>
  <si>
    <t xml:space="preserve">1/16 de final</t>
  </si>
  <si>
    <t xml:space="preserve">32 equipos (2 primeros + 8 mejores terceros)</t>
  </si>
  <si>
    <t xml:space="preserve">16 partidos — EE.UU., México, Canadá</t>
  </si>
  <si>
    <t xml:space="preserve">4–7 jul</t>
  </si>
  <si>
    <t xml:space="preserve">Octavos de final</t>
  </si>
  <si>
    <t xml:space="preserve">16 equipos</t>
  </si>
  <si>
    <t xml:space="preserve">8 partidos</t>
  </si>
  <si>
    <t xml:space="preserve">9–12 jul</t>
  </si>
  <si>
    <t xml:space="preserve">Cuartos de final</t>
  </si>
  <si>
    <t xml:space="preserve">8 equipos</t>
  </si>
  <si>
    <t xml:space="preserve">4 partidos</t>
  </si>
  <si>
    <t xml:space="preserve">14–15 jul</t>
  </si>
  <si>
    <t xml:space="preserve">Semifinales</t>
  </si>
  <si>
    <t xml:space="preserve">4 equipos</t>
  </si>
  <si>
    <t xml:space="preserve">Dallas (14 jul) · Atlanta (15 jul)</t>
  </si>
  <si>
    <t xml:space="preserve">18 jul</t>
  </si>
  <si>
    <t xml:space="preserve">3er y 4º puesto</t>
  </si>
  <si>
    <t xml:space="preserve">Miami</t>
  </si>
  <si>
    <t xml:space="preserve">19 jul</t>
  </si>
  <si>
    <t xml:space="preserve">🏆 FINAL</t>
  </si>
  <si>
    <t xml:space="preserve">MetLife Stadium, Nueva York/Nueva Jersey</t>
  </si>
  <si>
    <t xml:space="preserve">⚽  PORRA MUNDIAL 2026  ⚽</t>
  </si>
  <si>
    <t xml:space="preserve">USA · MÉXICO · CANADÁ  |  11 junio – 19 julio 2026</t>
  </si>
  <si>
    <t xml:space="preserve">📌  CÓMO RELLENAR TU PORRA  —  LÉELO UNA VEZ Y LISTO</t>
  </si>
  <si>
    <t xml:space="preserve">PASO 1</t>
  </si>
  <si>
    <t xml:space="preserve">Escribe tu nombre en la pestaña 🏅 CLASIFICACIÓN (columna verde).</t>
  </si>
  <si>
    <t xml:space="preserve">➜ Solo hay que hacerlo una vez.</t>
  </si>
  <si>
    <t xml:space="preserve">PASO 2</t>
  </si>
  <si>
    <t xml:space="preserve">Ve a la pestaña del grupo que quieras (Grupo A, Grupo B…)</t>
  </si>
  <si>
    <t xml:space="preserve">➜ Hay 12 grupos, uno por pestaña.</t>
  </si>
  <si>
    <t xml:space="preserve">PASO 3</t>
  </si>
  <si>
    <t xml:space="preserve">En cada partido hay TRES celdas verdes que TÚ rellenas:
  • PRED. LOCAL (nº de goles que crees que mete el equipo de la izquierda)
  • PRED. VISITANTE (nº de goles del equipo de la derecha)
  • SIGNO (escribe: 1 si gana el local, X si empatan, 2 si gana el visitante)</t>
  </si>
  <si>
    <t xml:space="preserve">EJEMPLO: crees que España gana 2-0 a Cabo Verde
  → Pred. Local = 2  |  Pred. Visitante = 0  |  Signo = 1
EJEMPLO cubierto: crees que queda 3-1, pero por si acaso te cubres con empate
  → Pred. Local = 3  |  Pred. Visitante = 1  |  Signo = X
  → Si queda 3-1 ganas 3 pts (exacto). Si empatan, ganas 1 pt (signo).</t>
  </si>
  <si>
    <t xml:space="preserve">PASO 4</t>
  </si>
  <si>
    <t xml:space="preserve">Predice quién queda 1º, 2º y 3º clasificado en cada grupo (al final de la pestaña).</t>
  </si>
  <si>
    <t xml:space="preserve">➜ Escribe el nombre del equipo en las celdas verdes.</t>
  </si>
  <si>
    <t xml:space="preserve">PASO 5</t>
  </si>
  <si>
    <t xml:space="preserve">Ve a 🔮 ELIMINATORIAS y rellena los cruces y tu PICHICHI.</t>
  </si>
  <si>
    <t xml:space="preserve">➜ Mismo sistema: celdas verdes = tus predicciones.</t>
  </si>
  <si>
    <t xml:space="preserve">PASO 6</t>
  </si>
  <si>
    <t xml:space="preserve">¡No toques las celdas grises! Son del árbitro, que meterá los resultados reales.</t>
  </si>
  <si>
    <t xml:space="preserve">➜ Los puntos se calculan solos cuando el árbitro rellene los resultados.</t>
  </si>
  <si>
    <t xml:space="preserve">🏆  SISTEMA DE PUNTUACIÓN COMPLETO</t>
  </si>
  <si>
    <t xml:space="preserve">  FASE DE GRUPOS</t>
  </si>
  <si>
    <t xml:space="preserve">Signo correcto (1, X o 2)</t>
  </si>
  <si>
    <t xml:space="preserve">1 punto  ×  72 partidos = máx. 72 pts</t>
  </si>
  <si>
    <t xml:space="preserve">Marcador exacto (ej: 2-1)</t>
  </si>
  <si>
    <t xml:space="preserve">3 puntos  ×  72 partidos = máx. 216 pts</t>
  </si>
  <si>
    <t xml:space="preserve">⚠️ NOTA: Si el marcador exacto ya implica el signo correcto, se suman ambos (3+1=4 pts)</t>
  </si>
  <si>
    <t xml:space="preserve">Acertar el 1º del grupo</t>
  </si>
  <si>
    <t xml:space="preserve">4 pts × 12 grupos</t>
  </si>
  <si>
    <t xml:space="preserve">Acertar el 2º del grupo</t>
  </si>
  <si>
    <t xml:space="preserve">2 pts × 12 grupos</t>
  </si>
  <si>
    <t xml:space="preserve">Acertar un 3º que pasa a 1/16</t>
  </si>
  <si>
    <t xml:space="preserve">1 pt × 8 posibles = máx. 8 pts</t>
  </si>
  <si>
    <t xml:space="preserve">¿Por qué los terceros?</t>
  </si>
  <si>
    <t xml:space="preserve">En este Mundial pasan los 2 primeros de cada grupo + los 8 MEJORES TERCEROS de los 12 grupos. Adivinar cuál de los 12 terceros se cuela entre los 8 elegidos vale 1 punto.</t>
  </si>
  <si>
    <t xml:space="preserve">  FASE ELIMINATORIA</t>
  </si>
  <si>
    <t xml:space="preserve">Acertar clasificado en 1/16 de final</t>
  </si>
  <si>
    <t xml:space="preserve">2 pts por acierto</t>
  </si>
  <si>
    <t xml:space="preserve">Acertar clasificado en octavos</t>
  </si>
  <si>
    <t xml:space="preserve">3 pts por acierto</t>
  </si>
  <si>
    <t xml:space="preserve">Acertar clasificado en cuartos</t>
  </si>
  <si>
    <t xml:space="preserve">4 pts por acierto</t>
  </si>
  <si>
    <t xml:space="preserve">Acertar finalista (semifinales)</t>
  </si>
  <si>
    <t xml:space="preserve">5 pts por acierto</t>
  </si>
  <si>
    <t xml:space="preserve">Acertar ganador del 3er puesto</t>
  </si>
  <si>
    <t xml:space="preserve">6 pts</t>
  </si>
  <si>
    <t xml:space="preserve">Acertar el SUBCAMPEÓN</t>
  </si>
  <si>
    <t xml:space="preserve">8 pts</t>
  </si>
  <si>
    <t xml:space="preserve">Acertar el CAMPEÓN DEL MUNDO 🏆</t>
  </si>
  <si>
    <t xml:space="preserve">15 pts</t>
  </si>
  <si>
    <t xml:space="preserve">  BONUS</t>
  </si>
  <si>
    <t xml:space="preserve">Acertar el PICHICHI (máximo goleador) ⚽</t>
  </si>
  <si>
    <t xml:space="preserve">5 pts</t>
  </si>
  <si>
    <t xml:space="preserve">🎨  GUÍA DE COLORES</t>
  </si>
  <si>
    <t xml:space="preserve">  CELDA VERDE</t>
  </si>
  <si>
    <t xml:space="preserve">→ TÚ rellenas aquí (marcador o nombre del equipo)</t>
  </si>
  <si>
    <t xml:space="preserve">  CELDA GRIS</t>
  </si>
  <si>
    <t xml:space="preserve">→ El ÁRBITRO escribe el resultado real. NO TOCAR.</t>
  </si>
  <si>
    <t xml:space="preserve">  FONDO AMARILLO</t>
  </si>
  <si>
    <t xml:space="preserve">→ Partido de España, norma especial o categoría bonus</t>
  </si>
  <si>
    <t xml:space="preserve">  FONDO AZUL</t>
  </si>
  <si>
    <t xml:space="preserve">→ Filas alternas, solo para leer mejor</t>
  </si>
  <si>
    <t xml:space="preserve">  HORA EN ROJO</t>
  </si>
  <si>
    <t xml:space="preserve">→ Partido de MADRUGADA. ¡Ojo al despertador!</t>
  </si>
  <si>
    <t xml:space="preserve">⚽  GRUPO A  —  México · Sudáfrica · Corea del Sur · Rep. Checa</t>
  </si>
  <si>
    <t xml:space="preserve">✏️  CELDAS VERDES = tú rellenas.  PRED. LOCAL y PRED. VISITANTE = goles que crees que mete cada equipo (el marcador).  SIGNO = escribe  1  si gana el local,  X  si empatan,  2  si gana el visitante.  Puedes poner un signo diferente al marcador para cubrirte (ver instrucciones).  CELDAS GRISES = el árbitro.</t>
  </si>
  <si>
    <t xml:space="preserve">JOR.</t>
  </si>
  <si>
    <t xml:space="preserve">PRED.
LOCAL
(goles)</t>
  </si>
  <si>
    <t xml:space="preserve">PRED.
VISIT.
(goles)</t>
  </si>
  <si>
    <t xml:space="preserve">SIGNO
1·X·2
(tú eliges)</t>
  </si>
  <si>
    <t xml:space="preserve">REAL
LOCAL
(árbitro)</t>
  </si>
  <si>
    <t xml:space="preserve">REAL
VISIT.
(árbitro)</t>
  </si>
  <si>
    <t xml:space="preserve">Pts
Signo</t>
  </si>
  <si>
    <t xml:space="preserve">Pts
Exacto</t>
  </si>
  <si>
    <t xml:space="preserve">HORA
ESP.</t>
  </si>
  <si>
    <t xml:space="preserve">  JORNADA 1</t>
  </si>
  <si>
    <t xml:space="preserve">1</t>
  </si>
  <si>
    <t xml:space="preserve">11 jun</t>
  </si>
  <si>
    <t xml:space="preserve">X</t>
  </si>
  <si>
    <t xml:space="preserve">12 jun</t>
  </si>
  <si>
    <t xml:space="preserve">  JORNADA 2</t>
  </si>
  <si>
    <t xml:space="preserve">19 jun</t>
  </si>
  <si>
    <t xml:space="preserve">2</t>
  </si>
  <si>
    <t xml:space="preserve">18 jun</t>
  </si>
  <si>
    <t xml:space="preserve">  JORNADA 3</t>
  </si>
  <si>
    <t xml:space="preserve">25 jun</t>
  </si>
  <si>
    <t xml:space="preserve">📊  CLASIFICACIÓN DEL GRUPO  —  ¿Quién queda 1º, 2º y 3º?</t>
  </si>
  <si>
    <t xml:space="preserve">Posicion</t>
  </si>
  <si>
    <t xml:space="preserve">TU PREDICCION - escribe el equipo en verde</t>
  </si>
  <si>
    <t xml:space="preserve">RESULTADO REAL - el arbitro lo rellena</t>
  </si>
  <si>
    <t xml:space="preserve">Pts</t>
  </si>
  <si>
    <t xml:space="preserve">🥇  1º del grupo</t>
  </si>
  <si>
    <t xml:space="preserve">🥈  2º del grupo</t>
  </si>
  <si>
    <t xml:space="preserve">🥉  3º del grupo — solo vale 1 pt si pasa a 1/16</t>
  </si>
  <si>
    <t xml:space="preserve">🎯  TOTAL PUNTOS GRUPO A</t>
  </si>
  <si>
    <t xml:space="preserve">Signo acertado (1 pt cada partido)</t>
  </si>
  <si>
    <t xml:space="preserve">Marcador exacto (3 pts cada partido)</t>
  </si>
  <si>
    <t xml:space="preserve">Clasificación 1º y 2º</t>
  </si>
  <si>
    <t xml:space="preserve">3º clasificado (si pasa a 1/16)</t>
  </si>
  <si>
    <t xml:space="preserve">TOTAL GRUPO</t>
  </si>
  <si>
    <t xml:space="preserve">⚽  GRUPO B  —  Canadá · Qatar · Suiza · Bosnia-Herz.</t>
  </si>
  <si>
    <t xml:space="preserve">13 jun</t>
  </si>
  <si>
    <t xml:space="preserve">24 jun</t>
  </si>
  <si>
    <t xml:space="preserve">🎯  TOTAL PUNTOS GRUPO B</t>
  </si>
  <si>
    <t xml:space="preserve">⚽  GRUPO C  —  Brasil · Marruecos · Haití · Escocia</t>
  </si>
  <si>
    <t xml:space="preserve">14 jun</t>
  </si>
  <si>
    <t xml:space="preserve">20 jun</t>
  </si>
  <si>
    <t xml:space="preserve">🎯  TOTAL PUNTOS GRUPO C</t>
  </si>
  <si>
    <t xml:space="preserve">⚽  GRUPO D  —  EE.UU. · Paraguay · Australia · Turquía</t>
  </si>
  <si>
    <t xml:space="preserve">26 jun</t>
  </si>
  <si>
    <t xml:space="preserve">🎯  TOTAL PUNTOS GRUPO D</t>
  </si>
  <si>
    <t xml:space="preserve">⚽  GRUPO E  —  Alemania · Curaçao · Costa de Marfil · Ecuador</t>
  </si>
  <si>
    <t xml:space="preserve">15 jun</t>
  </si>
  <si>
    <t xml:space="preserve">21 jun</t>
  </si>
  <si>
    <t xml:space="preserve">🎯  TOTAL PUNTOS GRUPO E</t>
  </si>
  <si>
    <t xml:space="preserve">⚽  GRUPO F  —  Países Bajos · Japón · Túnez · Suecia</t>
  </si>
  <si>
    <t xml:space="preserve">🎯  TOTAL PUNTOS GRUPO F</t>
  </si>
  <si>
    <t xml:space="preserve">⚽  GRUPO G  —  Bélgica · Egipto · Irán · Nueva Zelanda</t>
  </si>
  <si>
    <t xml:space="preserve">16 jun</t>
  </si>
  <si>
    <t xml:space="preserve">22 jun</t>
  </si>
  <si>
    <t xml:space="preserve">27 jun</t>
  </si>
  <si>
    <t xml:space="preserve">🎯  TOTAL PUNTOS GRUPO G</t>
  </si>
  <si>
    <t xml:space="preserve">⚽  GRUPO H  —  España · Uruguay · Arabia Saudí · Cabo Verde</t>
  </si>
  <si>
    <t xml:space="preserve">España</t>
  </si>
  <si>
    <t xml:space="preserve">🎯  TOTAL PUNTOS GRUPO H</t>
  </si>
  <si>
    <t xml:space="preserve">⚽  GRUPO I  —  Francia · Senegal · Noruega · Irak</t>
  </si>
  <si>
    <t xml:space="preserve">17 jun</t>
  </si>
  <si>
    <t xml:space="preserve">23 jun</t>
  </si>
  <si>
    <t xml:space="preserve">🎯  TOTAL PUNTOS GRUPO I</t>
  </si>
  <si>
    <t xml:space="preserve">⚽  GRUPO J  —  Argentina · Argelia · Austria · Jordania</t>
  </si>
  <si>
    <t xml:space="preserve">🎯  TOTAL PUNTOS GRUPO J</t>
  </si>
  <si>
    <t xml:space="preserve">⚽  GRUPO K  —  Portugal · Uzbekistán · Colombia · R.D. Congo</t>
  </si>
  <si>
    <t xml:space="preserve">28 jun</t>
  </si>
  <si>
    <t xml:space="preserve">🎯  TOTAL PUNTOS GRUPO K</t>
  </si>
  <si>
    <t xml:space="preserve">⚽  GRUPO L  —  Inglaterra · Croacia · Ghana · Panamá</t>
  </si>
  <si>
    <t xml:space="preserve">🎯  TOTAL PUNTOS GRUPO L</t>
  </si>
  <si>
    <t xml:space="preserve">🗺️  CUADRO COMPLETO DE ELIMINATORIAS  —  Mundial 2026</t>
  </si>
  <si>
    <t xml:space="preserve">Clasifican: 1º y 2º de cada grupo (24 equipos) + los 8 MEJORES 3ºs de los 12 grupos = 32 equipos en total.  Los cruces entre 2ºs son FIJOS. Los cruces de los 1ºs contra los 3ºs dependen de qué grupos clasifiquen sus terceros (FIFA lo determina al final de la fase de grupos).</t>
  </si>
  <si>
    <t xml:space="preserve">✅  CRUCES FIJOS  —  2ºs entre sí  (siempre son estos, pase quien pase)</t>
  </si>
  <si>
    <t xml:space="preserve">Partido</t>
  </si>
  <si>
    <t xml:space="preserve">CRUCE FIJO</t>
  </si>
  <si>
    <t xml:space="preserve">M73</t>
  </si>
  <si>
    <t xml:space="preserve">2º Grupo A  vs  2º Grupo B</t>
  </si>
  <si>
    <t xml:space="preserve">M74</t>
  </si>
  <si>
    <t xml:space="preserve">2º Grupo C  vs  2º Grupo F</t>
  </si>
  <si>
    <t xml:space="preserve">M75</t>
  </si>
  <si>
    <t xml:space="preserve">2º Grupo D  vs  2º Grupo G</t>
  </si>
  <si>
    <t xml:space="preserve">M76</t>
  </si>
  <si>
    <t xml:space="preserve">2º Grupo E  vs  2º Grupo I</t>
  </si>
  <si>
    <t xml:space="preserve">M77</t>
  </si>
  <si>
    <t xml:space="preserve">2º Grupo H  vs  2º Grupo J</t>
  </si>
  <si>
    <t xml:space="preserve">M78</t>
  </si>
  <si>
    <t xml:space="preserve">2º Grupo K  vs  2º Grupo L</t>
  </si>
  <si>
    <t xml:space="preserve">⭐  ESPAÑA: Si queda 2ª del Grupo H → juega contra el 2º del Grupo J en 1/16  |  Si queda 1ª del Grupo H → juega contra un 3º (grupo a determinar)</t>
  </si>
  <si>
    <t xml:space="preserve">⚠️  CRUCES 1ºs vs 3ºs  —  Dependen de qué grupos clasifiquen su 3º. FIFA los determina al acabar la fase de grupos.</t>
  </si>
  <si>
    <t xml:space="preserve">1º DE GRUPO vs POSIBLE 3º (según grupos clasificados)</t>
  </si>
  <si>
    <t xml:space="preserve">M79</t>
  </si>
  <si>
    <t xml:space="preserve">1º Grupo A  vs  3º de grupo C, E, F, H o I</t>
  </si>
  <si>
    <t xml:space="preserve">M80</t>
  </si>
  <si>
    <t xml:space="preserve">1º Grupo B  vs  3º de grupo E, F, G, I o J</t>
  </si>
  <si>
    <t xml:space="preserve">M81</t>
  </si>
  <si>
    <t xml:space="preserve">1º Grupo C  vs  2º Grupo F  ← FIJO</t>
  </si>
  <si>
    <t xml:space="preserve">M82</t>
  </si>
  <si>
    <t xml:space="preserve">1º Grupo D  vs  3º de grupo B, E, F, I o J</t>
  </si>
  <si>
    <t xml:space="preserve">M83</t>
  </si>
  <si>
    <t xml:space="preserve">1º Grupo E  vs  3º de grupo A, B, C, D o F</t>
  </si>
  <si>
    <t xml:space="preserve">M84</t>
  </si>
  <si>
    <t xml:space="preserve">1º Grupo F  vs  2º Grupo C  ← FIJO</t>
  </si>
  <si>
    <t xml:space="preserve">M85</t>
  </si>
  <si>
    <t xml:space="preserve">1º Grupo G  vs  3º de grupo A, E, H, I o J</t>
  </si>
  <si>
    <t xml:space="preserve">M86</t>
  </si>
  <si>
    <t xml:space="preserve">1º Grupo H  vs  2º Grupo J  ← FIJO</t>
  </si>
  <si>
    <t xml:space="preserve">M87</t>
  </si>
  <si>
    <t xml:space="preserve">1º Grupo I  vs  3º de grupo C, D, F, G o H</t>
  </si>
  <si>
    <t xml:space="preserve">M88</t>
  </si>
  <si>
    <t xml:space="preserve">1º Grupo J  vs  2º Grupo H  ← FIJO</t>
  </si>
  <si>
    <t xml:space="preserve">M89</t>
  </si>
  <si>
    <t xml:space="preserve">1º Grupo K  vs  3º de grupo D, E, I, J o L</t>
  </si>
  <si>
    <t xml:space="preserve">M90</t>
  </si>
  <si>
    <t xml:space="preserve">1º Grupo L  vs  3º de grupo E, H, I, J o K</t>
  </si>
  <si>
    <t xml:space="preserve">📊  PROGRESIÓN DEL TORNEO  —  De 1/16 a la Final</t>
  </si>
  <si>
    <t xml:space="preserve">⚡ 1/16 DE FINAL
28 jun – 3 jul
16 partidos</t>
  </si>
  <si>
    <t xml:space="preserve">🔥 OCTAVOS
4–7 jul
8 partidos</t>
  </si>
  <si>
    <t xml:space="preserve">💥 CUARTOS
9–12 jul
4 partidos</t>
  </si>
  <si>
    <t xml:space="preserve">⭐ SEMIS + FINAL
14–19 jul</t>
  </si>
  <si>
    <t xml:space="preserve">32 equipos clasificados
(24 primeros/segundos + 8 mejores 3ºs)</t>
  </si>
  <si>
    <t xml:space="preserve">16 ganadores del 1/16</t>
  </si>
  <si>
    <t xml:space="preserve">8 ganadores de octavos</t>
  </si>
  <si>
    <t xml:space="preserve">4 ganadores de cuartos</t>
  </si>
  <si>
    <t xml:space="preserve">16 partidos en 6 días</t>
  </si>
  <si>
    <t xml:space="preserve">8 partidos en 4 días</t>
  </si>
  <si>
    <t xml:space="preserve">4 partidos en 4 días</t>
  </si>
  <si>
    <t xml:space="preserve">2 semifinales → 3er puesto → Final</t>
  </si>
  <si>
    <t xml:space="preserve">El ganador de cada partido pasa a octavos</t>
  </si>
  <si>
    <t xml:space="preserve">El ganador pasa a cuartos</t>
  </si>
  <si>
    <t xml:space="preserve">El ganador pasa a semis</t>
  </si>
  <si>
    <t xml:space="preserve">🏆 FINAL: 19 jul · MetLife Stadium</t>
  </si>
  <si>
    <t xml:space="preserve">💡  CÓMO RELLENAR LA PESTAÑA 🔮 ELIMINATORIAS</t>
  </si>
  <si>
    <t xml:space="preserve">1️⃣   En la pestaña 🔮 ELIMINATORIAS hay 16 filas para el 1/16 de final.</t>
  </si>
  <si>
    <t xml:space="preserve">2️⃣   Para los cruces FIJOS (2ºs entre sí): ya sabes quiénes pueden ser. Pon el equipo que crees que va a ganar en 'TU PRED. Local' o 'TU PRED. Visitante'.</t>
  </si>
  <si>
    <t xml:space="preserve">3️⃣   Para los cruces con TERCEROS: no sabes exactamente contra quién jugará hasta que acabe la fase de grupos. Puedes dejarlo en blanco y rellenarlo cuando se conozcan, o arriesgarte y escribir el equipo que crees que pasará como 3º.</t>
  </si>
  <si>
    <t xml:space="preserve">4️⃣   En todos los casos: escribe el equipo que crees que GANARÁ ese partido. Si aciertas el ganador → puntos según la ronda (2 pts en 1/16, 3 en octavos, etc.).</t>
  </si>
  <si>
    <t xml:space="preserve">5️⃣   Los goles en eliminatorias son opcionales: son para tu propio registro, no cambian la puntuación (en eliminatorias no hay marcador exacto, solo se puntúa acertar el clasificado).</t>
  </si>
  <si>
    <t xml:space="preserve">🏆  FASE ELIMINATORIA  —  Mundial 2026</t>
  </si>
  <si>
    <t xml:space="preserve">✏️  Celdas VERDES = tú rellenas con los equipos que crees que van a ganar.  Celdas GRISES = el árbitro anota el ganador real.</t>
  </si>
  <si>
    <t xml:space="preserve">  ⚡ 1/16 DE FINAL  (2 pts por acierto)  ·  28 jun – 3 jul</t>
  </si>
  <si>
    <t xml:space="preserve">Nº</t>
  </si>
  <si>
    <t xml:space="preserve">TU PRED.: Local</t>
  </si>
  <si>
    <t xml:space="preserve">Goles
Local</t>
  </si>
  <si>
    <t xml:space="preserve">Goles
Visit.</t>
  </si>
  <si>
    <t xml:space="preserve">TU PRED.: Visitante</t>
  </si>
  <si>
    <t xml:space="preserve">GANADOR REAL
(árbitro)</t>
  </si>
  <si>
    <t xml:space="preserve">Puntos</t>
  </si>
  <si>
    <t xml:space="preserve">  🔥 OCTAVOS DE FINAL  (3 pts por acierto)  ·  4 – 7 jul</t>
  </si>
  <si>
    <t xml:space="preserve">  💥 CUARTOS DE FINAL  (4 pts por acierto)  ·  9 – 12 jul</t>
  </si>
  <si>
    <t xml:space="preserve">  ⭐ SEMIFINALES  (5 pts por acierto)  ·  14 – 15 jul</t>
  </si>
  <si>
    <t xml:space="preserve">  🥉 3º Y 4º PUESTO  (6 pts)  ·  18 jul</t>
  </si>
  <si>
    <t xml:space="preserve">  🏆 FINAL  —  Subcampeón 8 pts  |  CAMPEÓN 15 pts  ·  19 jul · MetLife Stadium</t>
  </si>
  <si>
    <t xml:space="preserve">⚽  PICHICHI  —  ¿Quién será el máximo goleador del Mundial?  →  5 pts si aciertas</t>
  </si>
  <si>
    <t xml:space="preserve">TU PREDICCIÓN  (nombre del jugador)</t>
  </si>
  <si>
    <t xml:space="preserve">PICHICHI REAL  (árbitro)</t>
  </si>
  <si>
    <t xml:space="preserve">⚽</t>
  </si>
  <si>
    <t xml:space="preserve">Kylian Mbappé</t>
  </si>
  <si>
    <t xml:space="preserve">🎯  TOTAL PUNTOS FASE ELIMINATORIA + PICHICHI</t>
  </si>
  <si>
    <t xml:space="preserve">🏅  CLASIFICACIÓN GENERAL  —  Porra Mundial 2026</t>
  </si>
  <si>
    <t xml:space="preserve">✏️  Escribe los nombres en la columna verde.  Cuando haya resultados, el árbitro introduce los puntos de cada hoja de grupo y de Eliminatorias.</t>
  </si>
  <si>
    <t xml:space="preserve">#</t>
  </si>
  <si>
    <t xml:space="preserve">PARTICIPANTE</t>
  </si>
  <si>
    <t xml:space="preserve">Pts Grupos</t>
  </si>
  <si>
    <t xml:space="preserve">Pts Eliminat.</t>
  </si>
  <si>
    <t xml:space="preserve">Pts Pichichi</t>
  </si>
  <si>
    <t xml:space="preserve">TOTAL</t>
  </si>
  <si>
    <t xml:space="preserve">Posición</t>
  </si>
</sst>
</file>

<file path=xl/styles.xml><?xml version="1.0" encoding="utf-8"?>
<styleSheet xmlns="http://schemas.openxmlformats.org/spreadsheetml/2006/main">
  <numFmts count="2">
    <numFmt numFmtId="164" formatCode="General"/>
    <numFmt numFmtId="165" formatCode="General"/>
  </numFmts>
  <fonts count="4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333333"/>
      <name val="Arial"/>
      <family val="0"/>
      <charset val="1"/>
    </font>
    <font>
      <b val="true"/>
      <sz val="10"/>
      <color rgb="FFFFFFFF"/>
      <name val="Arial"/>
      <family val="0"/>
      <charset val="1"/>
    </font>
    <font>
      <sz val="10"/>
      <color rgb="FF555555"/>
      <name val="Arial"/>
      <family val="0"/>
      <charset val="1"/>
    </font>
    <font>
      <sz val="10"/>
      <color rgb="FF1A1A1A"/>
      <name val="Arial"/>
      <family val="0"/>
      <charset val="1"/>
    </font>
    <font>
      <sz val="10"/>
      <color rgb="FF111111"/>
      <name val="Arial"/>
      <family val="0"/>
      <charset val="1"/>
    </font>
    <font>
      <sz val="10"/>
      <color rgb="FF999999"/>
      <name val="Arial"/>
      <family val="0"/>
      <charset val="1"/>
    </font>
    <font>
      <sz val="9"/>
      <color rgb="FF444444"/>
      <name val="Arial"/>
      <family val="0"/>
      <charset val="1"/>
    </font>
    <font>
      <b val="true"/>
      <sz val="10"/>
      <color rgb="FFC0392B"/>
      <name val="Arial"/>
      <family val="0"/>
      <charset val="1"/>
    </font>
    <font>
      <sz val="10"/>
      <color rgb="FF333333"/>
      <name val="Arial"/>
      <family val="0"/>
      <charset val="1"/>
    </font>
    <font>
      <b val="true"/>
      <sz val="22"/>
      <color rgb="FFFFFFFF"/>
      <name val="Arial"/>
      <family val="0"/>
      <charset val="1"/>
    </font>
    <font>
      <sz val="13"/>
      <color rgb="FFFFFFFF"/>
      <name val="Arial"/>
      <family val="0"/>
      <charset val="1"/>
    </font>
    <font>
      <b val="true"/>
      <sz val="13"/>
      <color rgb="FFFFFFFF"/>
      <name val="Arial"/>
      <family val="0"/>
      <charset val="1"/>
    </font>
    <font>
      <b val="true"/>
      <sz val="11"/>
      <color rgb="FFFFFFFF"/>
      <name val="Arial"/>
      <family val="0"/>
      <charset val="1"/>
    </font>
    <font>
      <b val="true"/>
      <sz val="10"/>
      <color rgb="FF1A1A1A"/>
      <name val="Arial"/>
      <family val="0"/>
      <charset val="1"/>
    </font>
    <font>
      <sz val="9"/>
      <color rgb="FF333333"/>
      <name val="Arial"/>
      <family val="0"/>
      <charset val="1"/>
    </font>
    <font>
      <b val="true"/>
      <sz val="10"/>
      <color rgb="FF111111"/>
      <name val="Arial"/>
      <family val="0"/>
      <charset val="1"/>
    </font>
    <font>
      <sz val="10"/>
      <color rgb="FFC0392B"/>
      <name val="Arial"/>
      <family val="0"/>
      <charset val="1"/>
    </font>
    <font>
      <sz val="10"/>
      <color rgb="FFFFFFFF"/>
      <name val="Arial"/>
      <family val="0"/>
      <charset val="1"/>
    </font>
    <font>
      <i val="true"/>
      <sz val="8"/>
      <color rgb="FF333333"/>
      <name val="Arial"/>
      <family val="0"/>
      <charset val="1"/>
    </font>
    <font>
      <b val="true"/>
      <sz val="8"/>
      <color rgb="FFFFFFFF"/>
      <name val="Arial"/>
      <family val="0"/>
      <charset val="1"/>
    </font>
    <font>
      <sz val="9"/>
      <color rgb="FF999999"/>
      <name val="Arial"/>
      <family val="0"/>
      <charset val="1"/>
    </font>
    <font>
      <sz val="11"/>
      <color rgb="FF111111"/>
      <name val="Arial"/>
      <family val="0"/>
      <charset val="1"/>
    </font>
    <font>
      <b val="true"/>
      <sz val="9"/>
      <color rgb="FF999999"/>
      <name val="Arial"/>
      <family val="0"/>
      <charset val="1"/>
    </font>
    <font>
      <sz val="9"/>
      <color rgb="FF555555"/>
      <name val="Arial"/>
      <family val="0"/>
      <charset val="1"/>
    </font>
    <font>
      <sz val="9"/>
      <color rgb="FF111111"/>
      <name val="Arial"/>
      <family val="0"/>
      <charset val="1"/>
    </font>
    <font>
      <b val="true"/>
      <sz val="9"/>
      <color rgb="FFC0392B"/>
      <name val="Arial"/>
      <family val="0"/>
      <charset val="1"/>
    </font>
    <font>
      <b val="true"/>
      <sz val="9"/>
      <color rgb="FFFFFFFF"/>
      <name val="Arial"/>
      <family val="0"/>
      <charset val="1"/>
    </font>
    <font>
      <b val="true"/>
      <sz val="11"/>
      <color rgb="FF1A5276"/>
      <name val="Arial"/>
      <family val="0"/>
      <charset val="1"/>
    </font>
    <font>
      <b val="true"/>
      <sz val="12"/>
      <color rgb="FFFFFFFF"/>
      <name val="Arial"/>
      <family val="0"/>
      <charset val="1"/>
    </font>
    <font>
      <b val="true"/>
      <sz val="14"/>
      <color rgb="FFC0392B"/>
      <name val="Arial"/>
      <family val="0"/>
      <charset val="1"/>
    </font>
    <font>
      <b val="true"/>
      <sz val="11"/>
      <color rgb="FFC0392B"/>
      <name val="Arial"/>
      <family val="0"/>
      <charset val="1"/>
    </font>
    <font>
      <b val="true"/>
      <sz val="16"/>
      <color rgb="FFFFFFFF"/>
      <name val="Arial"/>
      <family val="0"/>
      <charset val="1"/>
    </font>
    <font>
      <b val="true"/>
      <sz val="10"/>
      <color rgb="FF1E8449"/>
      <name val="Arial"/>
      <family val="0"/>
      <charset val="1"/>
    </font>
    <font>
      <sz val="14"/>
      <name val="Arial"/>
      <family val="0"/>
      <charset val="1"/>
    </font>
    <font>
      <b val="true"/>
      <sz val="11"/>
      <color rgb="FF555555"/>
      <name val="Arial"/>
      <family val="0"/>
      <charset val="1"/>
    </font>
    <font>
      <sz val="11"/>
      <color rgb="FF333333"/>
      <name val="Arial"/>
      <family val="0"/>
      <charset val="1"/>
    </font>
    <font>
      <b val="true"/>
      <sz val="12"/>
      <color rgb="FFC0392B"/>
      <name val="Arial"/>
      <family val="0"/>
      <charset val="1"/>
    </font>
  </fonts>
  <fills count="17">
    <fill>
      <patternFill patternType="none"/>
    </fill>
    <fill>
      <patternFill patternType="gray125"/>
    </fill>
    <fill>
      <patternFill patternType="solid">
        <fgColor rgb="FFC0392B"/>
        <bgColor rgb="FF6C3483"/>
      </patternFill>
    </fill>
    <fill>
      <patternFill patternType="solid">
        <fgColor rgb="FFFFFDE7"/>
        <bgColor rgb="FFFFFFFF"/>
      </patternFill>
    </fill>
    <fill>
      <patternFill patternType="solid">
        <fgColor rgb="FF2C3E50"/>
        <bgColor rgb="FF333333"/>
      </patternFill>
    </fill>
    <fill>
      <patternFill patternType="solid">
        <fgColor rgb="FF1A5276"/>
        <bgColor rgb="FF2C3E50"/>
      </patternFill>
    </fill>
    <fill>
      <patternFill patternType="solid">
        <fgColor rgb="FFFFFFFF"/>
        <bgColor rgb="FFFFFDE7"/>
      </patternFill>
    </fill>
    <fill>
      <patternFill patternType="solid">
        <fgColor rgb="FFD6EAF8"/>
        <bgColor rgb="FFD5F5E3"/>
      </patternFill>
    </fill>
    <fill>
      <patternFill patternType="solid">
        <fgColor rgb="FFFFF3CD"/>
        <bgColor rgb="FFFFFDE7"/>
      </patternFill>
    </fill>
    <fill>
      <patternFill patternType="solid">
        <fgColor rgb="FFD5F5E3"/>
        <bgColor rgb="FFD6EAF8"/>
      </patternFill>
    </fill>
    <fill>
      <patternFill patternType="solid">
        <fgColor rgb="FFF2F3F4"/>
        <bgColor rgb="FFFFFDE7"/>
      </patternFill>
    </fill>
    <fill>
      <patternFill patternType="solid">
        <fgColor rgb="FFE67E22"/>
        <bgColor rgb="FFFF8080"/>
      </patternFill>
    </fill>
    <fill>
      <patternFill patternType="solid">
        <fgColor rgb="FF1E8449"/>
        <bgColor rgb="FF008080"/>
      </patternFill>
    </fill>
    <fill>
      <patternFill patternType="solid">
        <fgColor rgb="FF888888"/>
        <bgColor rgb="FF999999"/>
      </patternFill>
    </fill>
    <fill>
      <patternFill patternType="solid">
        <fgColor rgb="FF555555"/>
        <bgColor rgb="FF444444"/>
      </patternFill>
    </fill>
    <fill>
      <patternFill patternType="solid">
        <fgColor rgb="FF6C3483"/>
        <bgColor rgb="FF555555"/>
      </patternFill>
    </fill>
    <fill>
      <patternFill patternType="solid">
        <fgColor rgb="FFD4AC0D"/>
        <bgColor rgb="FFFFCC00"/>
      </patternFill>
    </fill>
  </fills>
  <borders count="3">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BDBDBD"/>
      </left>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right"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right"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6" fillId="5" borderId="0" xfId="0" applyFont="true" applyBorder="true" applyAlignment="true" applyProtection="false">
      <alignment horizontal="left"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4" borderId="2"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20" fillId="6" borderId="2"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20" fillId="7" borderId="2"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false" indent="0" shrinkToFit="false"/>
      <protection locked="true" hidden="false"/>
    </xf>
    <xf numFmtId="164" fontId="16" fillId="11" borderId="0" xfId="0" applyFont="true" applyBorder="true" applyAlignment="true" applyProtection="false">
      <alignment horizontal="left" vertical="center" textRotation="0" wrapText="false" indent="0" shrinkToFit="false"/>
      <protection locked="true" hidden="false"/>
    </xf>
    <xf numFmtId="164" fontId="20" fillId="9" borderId="1" xfId="0" applyFont="true" applyBorder="true" applyAlignment="true" applyProtection="false">
      <alignment horizontal="left" vertical="center" textRotation="0" wrapText="false" indent="0" shrinkToFit="false"/>
      <protection locked="true" hidden="false"/>
    </xf>
    <xf numFmtId="164" fontId="9" fillId="9" borderId="2" xfId="0" applyFont="true" applyBorder="true" applyAlignment="true" applyProtection="false">
      <alignment horizontal="left" vertical="center" textRotation="0" wrapText="false" indent="0" shrinkToFit="false"/>
      <protection locked="true" hidden="false"/>
    </xf>
    <xf numFmtId="164" fontId="20" fillId="10" borderId="1" xfId="0" applyFont="tru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left" vertical="center" textRotation="0" wrapText="false" indent="0" shrinkToFit="false"/>
      <protection locked="true" hidden="false"/>
    </xf>
    <xf numFmtId="164" fontId="20" fillId="8" borderId="1" xfId="0" applyFont="true" applyBorder="true" applyAlignment="true" applyProtection="false">
      <alignment horizontal="left" vertical="center" textRotation="0" wrapText="false" indent="0" shrinkToFit="false"/>
      <protection locked="true" hidden="false"/>
    </xf>
    <xf numFmtId="164" fontId="9" fillId="8" borderId="2" xfId="0" applyFont="true" applyBorder="true" applyAlignment="true" applyProtection="false">
      <alignment horizontal="left" vertical="center" textRotation="0" wrapText="false" indent="0" shrinkToFit="false"/>
      <protection locked="true" hidden="false"/>
    </xf>
    <xf numFmtId="164" fontId="20" fillId="7" borderId="1"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22" fillId="2" borderId="2" xfId="0" applyFont="true" applyBorder="true" applyAlignment="true" applyProtection="false">
      <alignment horizontal="left" vertical="center" textRotation="0" wrapText="false" indent="0" shrinkToFit="false"/>
      <protection locked="true" hidden="false"/>
    </xf>
    <xf numFmtId="164" fontId="16" fillId="4" borderId="0" xfId="0" applyFont="true" applyBorder="true" applyAlignment="true" applyProtection="false">
      <alignment horizontal="center" vertical="center" textRotation="0" wrapText="false" indent="0" shrinkToFit="false"/>
      <protection locked="true" hidden="false"/>
    </xf>
    <xf numFmtId="164" fontId="23" fillId="3" borderId="2"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center" vertical="center" textRotation="0" wrapText="true" indent="0" shrinkToFit="false"/>
      <protection locked="true" hidden="false"/>
    </xf>
    <xf numFmtId="164" fontId="24" fillId="12" borderId="1" xfId="0" applyFont="true" applyBorder="true" applyAlignment="true" applyProtection="false">
      <alignment horizontal="center" vertical="center" textRotation="0" wrapText="true" indent="0" shrinkToFit="false"/>
      <protection locked="true" hidden="false"/>
    </xf>
    <xf numFmtId="164" fontId="24" fillId="13" borderId="1" xfId="0" applyFont="true" applyBorder="true" applyAlignment="true" applyProtection="false">
      <alignment horizontal="center" vertical="center" textRotation="0" wrapText="true" indent="0" shrinkToFit="false"/>
      <protection locked="true" hidden="false"/>
    </xf>
    <xf numFmtId="164" fontId="24" fillId="14"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right" vertical="center" textRotation="0" wrapText="false" indent="0" shrinkToFit="false"/>
      <protection locked="true" hidden="false"/>
    </xf>
    <xf numFmtId="164" fontId="0" fillId="9" borderId="1" xfId="0" applyFont="false" applyBorder="true" applyAlignment="true" applyProtection="false">
      <alignment horizontal="center" vertical="center" textRotation="0" wrapText="false" indent="0" shrinkToFit="false"/>
      <protection locked="true" hidden="false"/>
    </xf>
    <xf numFmtId="164" fontId="27" fillId="6" borderId="1"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left" vertical="center" textRotation="0" wrapText="false" indent="0" shrinkToFit="false"/>
      <protection locked="true" hidden="false"/>
    </xf>
    <xf numFmtId="164" fontId="0" fillId="10" borderId="1" xfId="0" applyFont="fals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28" fillId="6" borderId="1" xfId="0" applyFont="true" applyBorder="true" applyAlignment="true" applyProtection="false">
      <alignment horizontal="center" vertical="center" textRotation="0" wrapText="false" indent="0" shrinkToFit="false"/>
      <protection locked="true" hidden="false"/>
    </xf>
    <xf numFmtId="164" fontId="29" fillId="6" borderId="1" xfId="0" applyFont="true" applyBorder="true" applyAlignment="true" applyProtection="false">
      <alignment horizontal="center" vertical="center" textRotation="0" wrapText="fals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4" fontId="26" fillId="7" borderId="1" xfId="0" applyFont="true" applyBorder="true" applyAlignment="true" applyProtection="false">
      <alignment horizontal="right" vertical="center" textRotation="0" wrapText="false" indent="0" shrinkToFit="false"/>
      <protection locked="true" hidden="false"/>
    </xf>
    <xf numFmtId="164" fontId="27" fillId="7" borderId="1" xfId="0" applyFont="true" applyBorder="true" applyAlignment="true" applyProtection="false">
      <alignment horizontal="center" vertical="center" textRotation="0" wrapText="false" indent="0" shrinkToFit="false"/>
      <protection locked="true" hidden="false"/>
    </xf>
    <xf numFmtId="164" fontId="26" fillId="7" borderId="1"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28" fillId="7" borderId="1" xfId="0" applyFont="true" applyBorder="true" applyAlignment="true" applyProtection="false">
      <alignment horizontal="center" vertical="center" textRotation="0" wrapText="false" indent="0" shrinkToFit="false"/>
      <protection locked="true" hidden="false"/>
    </xf>
    <xf numFmtId="164" fontId="30" fillId="7"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center" vertical="center" textRotation="0" wrapText="false" indent="0" shrinkToFit="false"/>
      <protection locked="true" hidden="false"/>
    </xf>
    <xf numFmtId="164" fontId="17" fillId="5" borderId="2" xfId="0" applyFont="true" applyBorder="true" applyAlignment="true" applyProtection="false">
      <alignment horizontal="left"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false" indent="0" shrinkToFit="false"/>
      <protection locked="true" hidden="false"/>
    </xf>
    <xf numFmtId="164" fontId="31" fillId="12" borderId="2" xfId="0" applyFont="true" applyBorder="true" applyAlignment="true" applyProtection="false">
      <alignment horizontal="left" vertical="center" textRotation="0" wrapText="false" indent="0" shrinkToFit="false"/>
      <protection locked="true" hidden="false"/>
    </xf>
    <xf numFmtId="164" fontId="31" fillId="13" borderId="2" xfId="0" applyFont="true" applyBorder="true" applyAlignment="true" applyProtection="false">
      <alignment horizontal="left" vertical="center" textRotation="0" wrapText="false" indent="0" shrinkToFit="false"/>
      <protection locked="true" hidden="false"/>
    </xf>
    <xf numFmtId="164" fontId="31" fillId="4"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left" vertical="center" textRotation="0" wrapText="false" indent="0" shrinkToFit="false"/>
      <protection locked="true" hidden="false"/>
    </xf>
    <xf numFmtId="164" fontId="0" fillId="10" borderId="2" xfId="0" applyFont="fals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left" vertical="center" textRotation="0" wrapText="false" indent="0" shrinkToFit="false"/>
      <protection locked="true" hidden="false"/>
    </xf>
    <xf numFmtId="165" fontId="32" fillId="7" borderId="2" xfId="0" applyFont="true" applyBorder="true" applyAlignment="true" applyProtection="false">
      <alignment horizontal="center" vertical="center" textRotation="0" wrapText="false" indent="0" shrinkToFit="false"/>
      <protection locked="true" hidden="false"/>
    </xf>
    <xf numFmtId="164" fontId="33" fillId="4" borderId="2" xfId="0" applyFont="true" applyBorder="true" applyAlignment="true" applyProtection="false">
      <alignment horizontal="left" vertical="center" textRotation="0" wrapText="false" indent="0" shrinkToFit="false"/>
      <protection locked="true" hidden="false"/>
    </xf>
    <xf numFmtId="165" fontId="34" fillId="8" borderId="2" xfId="0" applyFont="true" applyBorder="true" applyAlignment="true" applyProtection="false">
      <alignment horizontal="center" vertical="center" textRotation="0" wrapText="false" indent="0" shrinkToFit="false"/>
      <protection locked="true" hidden="false"/>
    </xf>
    <xf numFmtId="164" fontId="29" fillId="7" borderId="1"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25" fillId="8" borderId="1" xfId="0" applyFont="true" applyBorder="true" applyAlignment="true" applyProtection="false">
      <alignment horizontal="center" vertical="center" textRotation="0" wrapText="false" indent="0" shrinkToFit="false"/>
      <protection locked="true" hidden="false"/>
    </xf>
    <xf numFmtId="164" fontId="35" fillId="8" borderId="1" xfId="0" applyFont="true" applyBorder="true" applyAlignment="true" applyProtection="false">
      <alignment horizontal="right" vertical="center" textRotation="0" wrapText="false" indent="0" shrinkToFit="false"/>
      <protection locked="true" hidden="false"/>
    </xf>
    <xf numFmtId="164" fontId="27" fillId="8" borderId="1" xfId="0" applyFont="true" applyBorder="true" applyAlignment="true" applyProtection="false">
      <alignment horizontal="center" vertical="center" textRotation="0" wrapText="false" indent="0" shrinkToFit="false"/>
      <protection locked="true" hidden="false"/>
    </xf>
    <xf numFmtId="164" fontId="35" fillId="8"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center" textRotation="0" wrapText="false" indent="0" shrinkToFit="false"/>
      <protection locked="true" hidden="false"/>
    </xf>
    <xf numFmtId="164" fontId="29" fillId="8" borderId="1" xfId="0" applyFont="true" applyBorder="true" applyAlignment="true" applyProtection="false">
      <alignment horizontal="center" vertical="center" textRotation="0" wrapText="false" indent="0" shrinkToFit="false"/>
      <protection locked="true" hidden="false"/>
    </xf>
    <xf numFmtId="164" fontId="30" fillId="8" borderId="1" xfId="0" applyFont="true" applyBorder="true" applyAlignment="true" applyProtection="false">
      <alignment horizontal="center" vertical="center" textRotation="0" wrapText="false" indent="0" shrinkToFit="false"/>
      <protection locked="true" hidden="false"/>
    </xf>
    <xf numFmtId="164" fontId="36" fillId="2" borderId="0"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33" fillId="12" borderId="2" xfId="0" applyFont="true" applyBorder="true" applyAlignment="true" applyProtection="false">
      <alignment horizontal="left" vertical="center" textRotation="0" wrapText="fals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33" fillId="11" borderId="2"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28" fillId="9" borderId="1" xfId="0" applyFont="true" applyBorder="true" applyAlignment="true" applyProtection="false">
      <alignment horizontal="center" vertical="center" textRotation="0" wrapText="false" indent="0" shrinkToFit="false"/>
      <protection locked="true" hidden="false"/>
    </xf>
    <xf numFmtId="164" fontId="37" fillId="9" borderId="1" xfId="0" applyFont="true" applyBorder="tru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29" fillId="8" borderId="1" xfId="0" applyFont="true" applyBorder="true" applyAlignment="true" applyProtection="false">
      <alignment horizontal="center" vertical="center" textRotation="0" wrapText="true" indent="0" shrinkToFit="false"/>
      <protection locked="true" hidden="false"/>
    </xf>
    <xf numFmtId="164" fontId="33" fillId="5" borderId="2" xfId="0" applyFont="tru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0" fillId="9" borderId="1" xfId="0" applyFont="true" applyBorder="true" applyAlignment="true" applyProtection="false">
      <alignment horizontal="left" vertical="center" textRotation="0" wrapText="false" indent="0" shrinkToFit="false"/>
      <protection locked="true" hidden="false"/>
    </xf>
    <xf numFmtId="164" fontId="0" fillId="10" borderId="1" xfId="0" applyFont="false" applyBorder="true" applyAlignment="true" applyProtection="false">
      <alignment horizontal="left" vertical="center" textRotation="0" wrapText="false" indent="0" shrinkToFit="false"/>
      <protection locked="true" hidden="false"/>
    </xf>
    <xf numFmtId="164" fontId="17" fillId="11" borderId="2" xfId="0" applyFont="true" applyBorder="true" applyAlignment="true" applyProtection="false">
      <alignment horizontal="left" vertical="center" textRotation="0" wrapText="false" indent="0" shrinkToFit="false"/>
      <protection locked="true" hidden="false"/>
    </xf>
    <xf numFmtId="164" fontId="17" fillId="15"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false" indent="0" shrinkToFit="false"/>
      <protection locked="true" hidden="false"/>
    </xf>
    <xf numFmtId="164" fontId="33" fillId="16" borderId="2" xfId="0" applyFont="true" applyBorder="true" applyAlignment="true" applyProtection="false">
      <alignment horizontal="left"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true" indent="0" shrinkToFit="false"/>
      <protection locked="true" hidden="false"/>
    </xf>
    <xf numFmtId="164" fontId="31" fillId="12" borderId="1" xfId="0" applyFont="true" applyBorder="true" applyAlignment="true" applyProtection="false">
      <alignment horizontal="left" vertical="center" textRotation="0" wrapText="true" indent="0" shrinkToFit="false"/>
      <protection locked="true" hidden="false"/>
    </xf>
    <xf numFmtId="164" fontId="31" fillId="13" borderId="1" xfId="0" applyFont="true" applyBorder="true" applyAlignment="true" applyProtection="false">
      <alignment horizontal="center" vertical="center" textRotation="0" wrapText="true" indent="0" shrinkToFit="false"/>
      <protection locked="true" hidden="false"/>
    </xf>
    <xf numFmtId="164" fontId="38" fillId="8" borderId="1" xfId="0" applyFont="true" applyBorder="true" applyAlignment="true" applyProtection="false">
      <alignment horizontal="center" vertical="center" textRotation="0" wrapText="false" indent="0" shrinkToFit="false"/>
      <protection locked="true" hidden="false"/>
    </xf>
    <xf numFmtId="165" fontId="34" fillId="8"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39" fillId="6" borderId="1" xfId="0" applyFont="true" applyBorder="true" applyAlignment="true" applyProtection="false">
      <alignment horizontal="center" vertical="center" textRotation="0" wrapText="false" indent="0" shrinkToFit="false"/>
      <protection locked="true" hidden="false"/>
    </xf>
    <xf numFmtId="164" fontId="40" fillId="10" borderId="1" xfId="0" applyFont="true" applyBorder="true" applyAlignment="true" applyProtection="false">
      <alignment horizontal="center" vertical="center" textRotation="0" wrapText="false" indent="0" shrinkToFit="false"/>
      <protection locked="true" hidden="false"/>
    </xf>
    <xf numFmtId="165" fontId="41" fillId="8" borderId="1" xfId="0" applyFont="true" applyBorder="true" applyAlignment="true" applyProtection="false">
      <alignment horizontal="center" vertical="center" textRotation="0" wrapText="false" indent="0" shrinkToFit="false"/>
      <protection locked="true" hidden="false"/>
    </xf>
    <xf numFmtId="165" fontId="32" fillId="6" borderId="1" xfId="0" applyFont="true" applyBorder="true" applyAlignment="true" applyProtection="false">
      <alignment horizontal="center" vertical="center" textRotation="0" wrapText="false" indent="0" shrinkToFit="false"/>
      <protection locked="true" hidden="false"/>
    </xf>
    <xf numFmtId="164" fontId="39" fillId="7" borderId="1" xfId="0" applyFont="true" applyBorder="true" applyAlignment="true" applyProtection="false">
      <alignment horizontal="center" vertical="center" textRotation="0" wrapText="false" indent="0" shrinkToFit="false"/>
      <protection locked="true" hidden="false"/>
    </xf>
    <xf numFmtId="165" fontId="32"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88888"/>
      <rgbColor rgb="FF9999FF"/>
      <rgbColor rgb="FF6C3483"/>
      <rgbColor rgb="FFFFFD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3F4"/>
      <rgbColor rgb="FFD5F5E3"/>
      <rgbColor rgb="FFFFF3CD"/>
      <rgbColor rgb="FF99CCFF"/>
      <rgbColor rgb="FFFF99CC"/>
      <rgbColor rgb="FFCC99FF"/>
      <rgbColor rgb="FFFFCC99"/>
      <rgbColor rgb="FF3366FF"/>
      <rgbColor rgb="FF33CCCC"/>
      <rgbColor rgb="FF99CC00"/>
      <rgbColor rgb="FFFFCC00"/>
      <rgbColor rgb="FFD4AC0D"/>
      <rgbColor rgb="FFE67E22"/>
      <rgbColor rgb="FF555555"/>
      <rgbColor rgb="FF999999"/>
      <rgbColor rgb="FF1A5276"/>
      <rgbColor rgb="FF1E8449"/>
      <rgbColor rgb="FF111111"/>
      <rgbColor rgb="FF1A1A1A"/>
      <rgbColor rgb="FFC0392B"/>
      <rgbColor rgb="FF444444"/>
      <rgbColor rgb="FF2C3E5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19"/>
    <col collapsed="false" customWidth="true" hidden="false" outlineLevel="0" max="4" min="4" style="1" width="4"/>
    <col collapsed="false" customWidth="true" hidden="false" outlineLevel="0" max="5" min="5" style="1" width="19"/>
    <col collapsed="false" customWidth="true" hidden="false" outlineLevel="0" max="6" min="6" style="1" width="28"/>
  </cols>
  <sheetData>
    <row r="1" customFormat="false" ht="36"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3" customFormat="false" ht="19.5" hidden="false" customHeight="true" outlineLevel="0" collapsed="false">
      <c r="A3" s="4" t="s">
        <v>2</v>
      </c>
      <c r="B3" s="4" t="s">
        <v>3</v>
      </c>
      <c r="C3" s="4" t="s">
        <v>4</v>
      </c>
      <c r="D3" s="4" t="s">
        <v>5</v>
      </c>
      <c r="E3" s="4" t="s">
        <v>6</v>
      </c>
      <c r="F3" s="4" t="s">
        <v>7</v>
      </c>
    </row>
    <row r="4" customFormat="false" ht="19.5" hidden="false" customHeight="true" outlineLevel="0" collapsed="false">
      <c r="A4" s="5" t="s">
        <v>8</v>
      </c>
      <c r="B4" s="5"/>
      <c r="C4" s="5"/>
      <c r="D4" s="5"/>
      <c r="E4" s="5"/>
      <c r="F4" s="5"/>
    </row>
    <row r="5" customFormat="false" ht="18" hidden="false" customHeight="true" outlineLevel="0" collapsed="false">
      <c r="A5" s="6" t="s">
        <v>9</v>
      </c>
      <c r="B5" s="7" t="s">
        <v>10</v>
      </c>
      <c r="C5" s="8" t="s">
        <v>11</v>
      </c>
      <c r="D5" s="9" t="s">
        <v>12</v>
      </c>
      <c r="E5" s="10" t="s">
        <v>13</v>
      </c>
      <c r="F5" s="11" t="s">
        <v>14</v>
      </c>
    </row>
    <row r="6" customFormat="false" ht="18" hidden="false" customHeight="true" outlineLevel="0" collapsed="false">
      <c r="A6" s="12" t="s">
        <v>15</v>
      </c>
      <c r="B6" s="13" t="s">
        <v>16</v>
      </c>
      <c r="C6" s="14" t="s">
        <v>17</v>
      </c>
      <c r="D6" s="15" t="s">
        <v>12</v>
      </c>
      <c r="E6" s="16" t="s">
        <v>18</v>
      </c>
      <c r="F6" s="17" t="s">
        <v>19</v>
      </c>
    </row>
    <row r="7" customFormat="false" ht="18" hidden="false" customHeight="true" outlineLevel="0" collapsed="false">
      <c r="A7" s="6" t="s">
        <v>15</v>
      </c>
      <c r="B7" s="7" t="s">
        <v>10</v>
      </c>
      <c r="C7" s="8" t="s">
        <v>20</v>
      </c>
      <c r="D7" s="9" t="s">
        <v>12</v>
      </c>
      <c r="E7" s="10" t="s">
        <v>21</v>
      </c>
      <c r="F7" s="11" t="s">
        <v>22</v>
      </c>
    </row>
    <row r="8" customFormat="false" ht="18" hidden="false" customHeight="true" outlineLevel="0" collapsed="false">
      <c r="A8" s="12" t="s">
        <v>23</v>
      </c>
      <c r="B8" s="13" t="s">
        <v>24</v>
      </c>
      <c r="C8" s="14" t="s">
        <v>25</v>
      </c>
      <c r="D8" s="15" t="s">
        <v>12</v>
      </c>
      <c r="E8" s="16" t="s">
        <v>26</v>
      </c>
      <c r="F8" s="17" t="s">
        <v>27</v>
      </c>
    </row>
    <row r="9" customFormat="false" ht="18" hidden="false" customHeight="true" outlineLevel="0" collapsed="false">
      <c r="A9" s="6" t="s">
        <v>23</v>
      </c>
      <c r="B9" s="18" t="s">
        <v>28</v>
      </c>
      <c r="C9" s="8" t="s">
        <v>29</v>
      </c>
      <c r="D9" s="9" t="s">
        <v>12</v>
      </c>
      <c r="E9" s="10" t="s">
        <v>30</v>
      </c>
      <c r="F9" s="11" t="s">
        <v>31</v>
      </c>
    </row>
    <row r="10" customFormat="false" ht="18" hidden="false" customHeight="true" outlineLevel="0" collapsed="false">
      <c r="A10" s="12" t="s">
        <v>23</v>
      </c>
      <c r="B10" s="19" t="s">
        <v>10</v>
      </c>
      <c r="C10" s="14" t="s">
        <v>32</v>
      </c>
      <c r="D10" s="15" t="s">
        <v>12</v>
      </c>
      <c r="E10" s="16" t="s">
        <v>33</v>
      </c>
      <c r="F10" s="17" t="s">
        <v>34</v>
      </c>
    </row>
    <row r="11" customFormat="false" ht="18" hidden="false" customHeight="true" outlineLevel="0" collapsed="false">
      <c r="A11" s="6" t="s">
        <v>35</v>
      </c>
      <c r="B11" s="18" t="s">
        <v>36</v>
      </c>
      <c r="C11" s="8" t="s">
        <v>37</v>
      </c>
      <c r="D11" s="9" t="s">
        <v>12</v>
      </c>
      <c r="E11" s="10" t="s">
        <v>38</v>
      </c>
      <c r="F11" s="11" t="s">
        <v>39</v>
      </c>
    </row>
    <row r="12" customFormat="false" ht="18" hidden="false" customHeight="true" outlineLevel="0" collapsed="false">
      <c r="A12" s="12" t="s">
        <v>35</v>
      </c>
      <c r="B12" s="13" t="s">
        <v>24</v>
      </c>
      <c r="C12" s="14" t="s">
        <v>40</v>
      </c>
      <c r="D12" s="15" t="s">
        <v>12</v>
      </c>
      <c r="E12" s="16" t="s">
        <v>41</v>
      </c>
      <c r="F12" s="17" t="s">
        <v>42</v>
      </c>
    </row>
    <row r="13" customFormat="false" ht="18" hidden="false" customHeight="true" outlineLevel="0" collapsed="false">
      <c r="A13" s="6" t="s">
        <v>35</v>
      </c>
      <c r="B13" s="7" t="s">
        <v>43</v>
      </c>
      <c r="C13" s="8" t="s">
        <v>44</v>
      </c>
      <c r="D13" s="9" t="s">
        <v>12</v>
      </c>
      <c r="E13" s="10" t="s">
        <v>45</v>
      </c>
      <c r="F13" s="11" t="s">
        <v>46</v>
      </c>
    </row>
    <row r="14" customFormat="false" ht="18" hidden="false" customHeight="true" outlineLevel="0" collapsed="false">
      <c r="A14" s="12" t="s">
        <v>35</v>
      </c>
      <c r="B14" s="19" t="s">
        <v>47</v>
      </c>
      <c r="C14" s="14" t="s">
        <v>48</v>
      </c>
      <c r="D14" s="15" t="s">
        <v>12</v>
      </c>
      <c r="E14" s="16" t="s">
        <v>49</v>
      </c>
      <c r="F14" s="17" t="s">
        <v>50</v>
      </c>
    </row>
    <row r="15" customFormat="false" ht="18" hidden="false" customHeight="true" outlineLevel="0" collapsed="false">
      <c r="A15" s="6" t="s">
        <v>51</v>
      </c>
      <c r="B15" s="18" t="s">
        <v>52</v>
      </c>
      <c r="C15" s="8" t="s">
        <v>53</v>
      </c>
      <c r="D15" s="9" t="s">
        <v>12</v>
      </c>
      <c r="E15" s="10" t="s">
        <v>54</v>
      </c>
      <c r="F15" s="11" t="s">
        <v>55</v>
      </c>
    </row>
    <row r="16" customFormat="false" ht="18" hidden="false" customHeight="true" outlineLevel="0" collapsed="false">
      <c r="A16" s="12" t="s">
        <v>51</v>
      </c>
      <c r="B16" s="13" t="s">
        <v>16</v>
      </c>
      <c r="C16" s="14" t="s">
        <v>56</v>
      </c>
      <c r="D16" s="15" t="s">
        <v>12</v>
      </c>
      <c r="E16" s="16" t="s">
        <v>57</v>
      </c>
      <c r="F16" s="17" t="s">
        <v>58</v>
      </c>
    </row>
    <row r="17" customFormat="false" ht="18" hidden="false" customHeight="true" outlineLevel="0" collapsed="false">
      <c r="A17" s="20" t="s">
        <v>51</v>
      </c>
      <c r="B17" s="21" t="s">
        <v>59</v>
      </c>
      <c r="C17" s="22" t="s">
        <v>60</v>
      </c>
      <c r="D17" s="23" t="s">
        <v>12</v>
      </c>
      <c r="E17" s="24" t="s">
        <v>61</v>
      </c>
      <c r="F17" s="25" t="s">
        <v>62</v>
      </c>
    </row>
    <row r="18" customFormat="false" ht="18" hidden="false" customHeight="true" outlineLevel="0" collapsed="false">
      <c r="A18" s="12" t="s">
        <v>51</v>
      </c>
      <c r="B18" s="19" t="s">
        <v>10</v>
      </c>
      <c r="C18" s="14" t="s">
        <v>63</v>
      </c>
      <c r="D18" s="15" t="s">
        <v>12</v>
      </c>
      <c r="E18" s="16" t="s">
        <v>64</v>
      </c>
      <c r="F18" s="17" t="s">
        <v>65</v>
      </c>
    </row>
    <row r="19" customFormat="false" ht="18" hidden="false" customHeight="true" outlineLevel="0" collapsed="false">
      <c r="A19" s="6" t="s">
        <v>66</v>
      </c>
      <c r="B19" s="18" t="s">
        <v>36</v>
      </c>
      <c r="C19" s="8" t="s">
        <v>67</v>
      </c>
      <c r="D19" s="9" t="s">
        <v>12</v>
      </c>
      <c r="E19" s="10" t="s">
        <v>68</v>
      </c>
      <c r="F19" s="11" t="s">
        <v>65</v>
      </c>
    </row>
    <row r="20" customFormat="false" ht="18" hidden="false" customHeight="true" outlineLevel="0" collapsed="false">
      <c r="A20" s="12" t="s">
        <v>66</v>
      </c>
      <c r="B20" s="13" t="s">
        <v>24</v>
      </c>
      <c r="C20" s="14" t="s">
        <v>69</v>
      </c>
      <c r="D20" s="15" t="s">
        <v>12</v>
      </c>
      <c r="E20" s="16" t="s">
        <v>70</v>
      </c>
      <c r="F20" s="17" t="s">
        <v>71</v>
      </c>
    </row>
    <row r="21" customFormat="false" ht="18" hidden="false" customHeight="true" outlineLevel="0" collapsed="false">
      <c r="A21" s="6" t="s">
        <v>66</v>
      </c>
      <c r="B21" s="18" t="s">
        <v>28</v>
      </c>
      <c r="C21" s="8" t="s">
        <v>72</v>
      </c>
      <c r="D21" s="9" t="s">
        <v>12</v>
      </c>
      <c r="E21" s="10" t="s">
        <v>73</v>
      </c>
      <c r="F21" s="11" t="s">
        <v>74</v>
      </c>
    </row>
    <row r="22" customFormat="false" ht="18" hidden="false" customHeight="true" outlineLevel="0" collapsed="false">
      <c r="A22" s="12" t="s">
        <v>66</v>
      </c>
      <c r="B22" s="19" t="s">
        <v>10</v>
      </c>
      <c r="C22" s="14" t="s">
        <v>75</v>
      </c>
      <c r="D22" s="15" t="s">
        <v>12</v>
      </c>
      <c r="E22" s="16" t="s">
        <v>76</v>
      </c>
      <c r="F22" s="17" t="s">
        <v>39</v>
      </c>
    </row>
    <row r="23" customFormat="false" ht="18" hidden="false" customHeight="true" outlineLevel="0" collapsed="false">
      <c r="A23" s="6" t="s">
        <v>77</v>
      </c>
      <c r="B23" s="18" t="s">
        <v>36</v>
      </c>
      <c r="C23" s="8" t="s">
        <v>78</v>
      </c>
      <c r="D23" s="9" t="s">
        <v>12</v>
      </c>
      <c r="E23" s="10" t="s">
        <v>79</v>
      </c>
      <c r="F23" s="11" t="s">
        <v>42</v>
      </c>
    </row>
    <row r="24" customFormat="false" ht="18" hidden="false" customHeight="true" outlineLevel="0" collapsed="false">
      <c r="A24" s="12" t="s">
        <v>77</v>
      </c>
      <c r="B24" s="13" t="s">
        <v>24</v>
      </c>
      <c r="C24" s="14" t="s">
        <v>80</v>
      </c>
      <c r="D24" s="15" t="s">
        <v>12</v>
      </c>
      <c r="E24" s="16" t="s">
        <v>81</v>
      </c>
      <c r="F24" s="17" t="s">
        <v>74</v>
      </c>
    </row>
    <row r="25" customFormat="false" ht="18" hidden="false" customHeight="true" outlineLevel="0" collapsed="false">
      <c r="A25" s="6" t="s">
        <v>77</v>
      </c>
      <c r="B25" s="7" t="s">
        <v>43</v>
      </c>
      <c r="C25" s="8" t="s">
        <v>82</v>
      </c>
      <c r="D25" s="9" t="s">
        <v>12</v>
      </c>
      <c r="E25" s="10" t="s">
        <v>83</v>
      </c>
      <c r="F25" s="11" t="s">
        <v>27</v>
      </c>
    </row>
    <row r="26" customFormat="false" ht="18" hidden="false" customHeight="true" outlineLevel="0" collapsed="false">
      <c r="A26" s="12" t="s">
        <v>77</v>
      </c>
      <c r="B26" s="19" t="s">
        <v>47</v>
      </c>
      <c r="C26" s="14" t="s">
        <v>84</v>
      </c>
      <c r="D26" s="15" t="s">
        <v>12</v>
      </c>
      <c r="E26" s="16" t="s">
        <v>85</v>
      </c>
      <c r="F26" s="17" t="s">
        <v>50</v>
      </c>
    </row>
    <row r="27" customFormat="false" ht="18" hidden="false" customHeight="true" outlineLevel="0" collapsed="false">
      <c r="A27" s="6" t="s">
        <v>86</v>
      </c>
      <c r="B27" s="18" t="s">
        <v>52</v>
      </c>
      <c r="C27" s="8" t="s">
        <v>87</v>
      </c>
      <c r="D27" s="9" t="s">
        <v>12</v>
      </c>
      <c r="E27" s="10" t="s">
        <v>88</v>
      </c>
      <c r="F27" s="11" t="s">
        <v>55</v>
      </c>
    </row>
    <row r="28" customFormat="false" ht="18" hidden="false" customHeight="true" outlineLevel="0" collapsed="false">
      <c r="A28" s="12" t="s">
        <v>86</v>
      </c>
      <c r="B28" s="13" t="s">
        <v>16</v>
      </c>
      <c r="C28" s="14" t="s">
        <v>89</v>
      </c>
      <c r="D28" s="15" t="s">
        <v>12</v>
      </c>
      <c r="E28" s="16" t="s">
        <v>90</v>
      </c>
      <c r="F28" s="17" t="s">
        <v>34</v>
      </c>
    </row>
    <row r="29" customFormat="false" ht="19.5" hidden="false" customHeight="true" outlineLevel="0" collapsed="false">
      <c r="A29" s="5" t="s">
        <v>91</v>
      </c>
      <c r="B29" s="5"/>
      <c r="C29" s="5"/>
      <c r="D29" s="5"/>
      <c r="E29" s="5"/>
      <c r="F29" s="5"/>
    </row>
    <row r="30" customFormat="false" ht="18" hidden="false" customHeight="true" outlineLevel="0" collapsed="false">
      <c r="A30" s="12" t="s">
        <v>86</v>
      </c>
      <c r="B30" s="19" t="s">
        <v>59</v>
      </c>
      <c r="C30" s="14" t="s">
        <v>18</v>
      </c>
      <c r="D30" s="15" t="s">
        <v>12</v>
      </c>
      <c r="E30" s="16" t="s">
        <v>13</v>
      </c>
      <c r="F30" s="17" t="s">
        <v>19</v>
      </c>
    </row>
    <row r="31" customFormat="false" ht="18" hidden="false" customHeight="true" outlineLevel="0" collapsed="false">
      <c r="A31" s="6" t="s">
        <v>86</v>
      </c>
      <c r="B31" s="7" t="s">
        <v>10</v>
      </c>
      <c r="C31" s="8" t="s">
        <v>33</v>
      </c>
      <c r="D31" s="9" t="s">
        <v>12</v>
      </c>
      <c r="E31" s="10" t="s">
        <v>21</v>
      </c>
      <c r="F31" s="11" t="s">
        <v>58</v>
      </c>
    </row>
    <row r="32" customFormat="false" ht="18" hidden="false" customHeight="true" outlineLevel="0" collapsed="false">
      <c r="A32" s="12" t="s">
        <v>92</v>
      </c>
      <c r="B32" s="13" t="s">
        <v>36</v>
      </c>
      <c r="C32" s="14" t="s">
        <v>20</v>
      </c>
      <c r="D32" s="15" t="s">
        <v>12</v>
      </c>
      <c r="E32" s="16" t="s">
        <v>32</v>
      </c>
      <c r="F32" s="17" t="s">
        <v>22</v>
      </c>
    </row>
    <row r="33" customFormat="false" ht="18" hidden="false" customHeight="true" outlineLevel="0" collapsed="false">
      <c r="A33" s="6" t="s">
        <v>92</v>
      </c>
      <c r="B33" s="18" t="s">
        <v>24</v>
      </c>
      <c r="C33" s="8" t="s">
        <v>11</v>
      </c>
      <c r="D33" s="9" t="s">
        <v>12</v>
      </c>
      <c r="E33" s="10" t="s">
        <v>17</v>
      </c>
      <c r="F33" s="11" t="s">
        <v>14</v>
      </c>
    </row>
    <row r="34" customFormat="false" ht="18" hidden="false" customHeight="true" outlineLevel="0" collapsed="false">
      <c r="A34" s="12" t="s">
        <v>92</v>
      </c>
      <c r="B34" s="13" t="s">
        <v>28</v>
      </c>
      <c r="C34" s="14" t="s">
        <v>30</v>
      </c>
      <c r="D34" s="15" t="s">
        <v>12</v>
      </c>
      <c r="E34" s="16" t="s">
        <v>26</v>
      </c>
      <c r="F34" s="17" t="s">
        <v>31</v>
      </c>
    </row>
    <row r="35" customFormat="false" ht="18" hidden="false" customHeight="true" outlineLevel="0" collapsed="false">
      <c r="A35" s="6" t="s">
        <v>92</v>
      </c>
      <c r="B35" s="7" t="s">
        <v>10</v>
      </c>
      <c r="C35" s="8" t="s">
        <v>25</v>
      </c>
      <c r="D35" s="9" t="s">
        <v>12</v>
      </c>
      <c r="E35" s="10" t="s">
        <v>29</v>
      </c>
      <c r="F35" s="11" t="s">
        <v>27</v>
      </c>
    </row>
    <row r="36" customFormat="false" ht="18" hidden="false" customHeight="true" outlineLevel="0" collapsed="false">
      <c r="A36" s="12" t="s">
        <v>93</v>
      </c>
      <c r="B36" s="13" t="s">
        <v>36</v>
      </c>
      <c r="C36" s="14" t="s">
        <v>41</v>
      </c>
      <c r="D36" s="15" t="s">
        <v>12</v>
      </c>
      <c r="E36" s="16" t="s">
        <v>38</v>
      </c>
      <c r="F36" s="17" t="s">
        <v>42</v>
      </c>
    </row>
    <row r="37" customFormat="false" ht="18" hidden="false" customHeight="true" outlineLevel="0" collapsed="false">
      <c r="A37" s="6" t="s">
        <v>93</v>
      </c>
      <c r="B37" s="18" t="s">
        <v>24</v>
      </c>
      <c r="C37" s="8" t="s">
        <v>37</v>
      </c>
      <c r="D37" s="9" t="s">
        <v>12</v>
      </c>
      <c r="E37" s="10" t="s">
        <v>40</v>
      </c>
      <c r="F37" s="11" t="s">
        <v>39</v>
      </c>
    </row>
    <row r="38" customFormat="false" ht="18" hidden="false" customHeight="true" outlineLevel="0" collapsed="false">
      <c r="A38" s="12" t="s">
        <v>93</v>
      </c>
      <c r="B38" s="13" t="s">
        <v>28</v>
      </c>
      <c r="C38" s="14" t="s">
        <v>56</v>
      </c>
      <c r="D38" s="15" t="s">
        <v>12</v>
      </c>
      <c r="E38" s="16" t="s">
        <v>49</v>
      </c>
      <c r="F38" s="17" t="s">
        <v>58</v>
      </c>
    </row>
    <row r="39" customFormat="false" ht="18" hidden="false" customHeight="true" outlineLevel="0" collapsed="false">
      <c r="A39" s="6" t="s">
        <v>93</v>
      </c>
      <c r="B39" s="7" t="s">
        <v>43</v>
      </c>
      <c r="C39" s="8" t="s">
        <v>48</v>
      </c>
      <c r="D39" s="9" t="s">
        <v>12</v>
      </c>
      <c r="E39" s="10" t="s">
        <v>57</v>
      </c>
      <c r="F39" s="11" t="s">
        <v>50</v>
      </c>
    </row>
    <row r="40" customFormat="false" ht="18" hidden="false" customHeight="true" outlineLevel="0" collapsed="false">
      <c r="A40" s="12" t="s">
        <v>93</v>
      </c>
      <c r="B40" s="19" t="s">
        <v>47</v>
      </c>
      <c r="C40" s="14" t="s">
        <v>44</v>
      </c>
      <c r="D40" s="15" t="s">
        <v>12</v>
      </c>
      <c r="E40" s="16" t="s">
        <v>53</v>
      </c>
      <c r="F40" s="17" t="s">
        <v>46</v>
      </c>
    </row>
    <row r="41" customFormat="false" ht="18" hidden="false" customHeight="true" outlineLevel="0" collapsed="false">
      <c r="A41" s="6" t="s">
        <v>94</v>
      </c>
      <c r="B41" s="18" t="s">
        <v>95</v>
      </c>
      <c r="C41" s="8" t="s">
        <v>54</v>
      </c>
      <c r="D41" s="9" t="s">
        <v>12</v>
      </c>
      <c r="E41" s="10" t="s">
        <v>45</v>
      </c>
      <c r="F41" s="11" t="s">
        <v>55</v>
      </c>
    </row>
    <row r="42" customFormat="false" ht="18" hidden="false" customHeight="true" outlineLevel="0" collapsed="false">
      <c r="A42" s="20" t="s">
        <v>94</v>
      </c>
      <c r="B42" s="21" t="s">
        <v>59</v>
      </c>
      <c r="C42" s="22" t="s">
        <v>60</v>
      </c>
      <c r="D42" s="23" t="s">
        <v>12</v>
      </c>
      <c r="E42" s="24" t="s">
        <v>96</v>
      </c>
      <c r="F42" s="25" t="s">
        <v>62</v>
      </c>
    </row>
    <row r="43" customFormat="false" ht="18" hidden="false" customHeight="true" outlineLevel="0" collapsed="false">
      <c r="A43" s="6" t="s">
        <v>94</v>
      </c>
      <c r="B43" s="7" t="s">
        <v>10</v>
      </c>
      <c r="C43" s="8" t="s">
        <v>63</v>
      </c>
      <c r="D43" s="9" t="s">
        <v>12</v>
      </c>
      <c r="E43" s="10" t="s">
        <v>69</v>
      </c>
      <c r="F43" s="11" t="s">
        <v>71</v>
      </c>
    </row>
    <row r="44" customFormat="false" ht="18" hidden="false" customHeight="true" outlineLevel="0" collapsed="false">
      <c r="A44" s="12" t="s">
        <v>97</v>
      </c>
      <c r="B44" s="13" t="s">
        <v>36</v>
      </c>
      <c r="C44" s="14" t="s">
        <v>68</v>
      </c>
      <c r="D44" s="15" t="s">
        <v>12</v>
      </c>
      <c r="E44" s="16" t="s">
        <v>98</v>
      </c>
      <c r="F44" s="17" t="s">
        <v>65</v>
      </c>
    </row>
    <row r="45" customFormat="false" ht="18" hidden="false" customHeight="true" outlineLevel="0" collapsed="false">
      <c r="A45" s="6" t="s">
        <v>97</v>
      </c>
      <c r="B45" s="18" t="s">
        <v>24</v>
      </c>
      <c r="C45" s="8" t="s">
        <v>70</v>
      </c>
      <c r="D45" s="9" t="s">
        <v>12</v>
      </c>
      <c r="E45" s="10" t="s">
        <v>64</v>
      </c>
      <c r="F45" s="11" t="s">
        <v>71</v>
      </c>
    </row>
    <row r="46" customFormat="false" ht="18" hidden="false" customHeight="true" outlineLevel="0" collapsed="false">
      <c r="A46" s="12" t="s">
        <v>97</v>
      </c>
      <c r="B46" s="19" t="s">
        <v>43</v>
      </c>
      <c r="C46" s="14" t="s">
        <v>80</v>
      </c>
      <c r="D46" s="15" t="s">
        <v>12</v>
      </c>
      <c r="E46" s="16" t="s">
        <v>72</v>
      </c>
      <c r="F46" s="17" t="s">
        <v>74</v>
      </c>
    </row>
    <row r="47" customFormat="false" ht="18" hidden="false" customHeight="true" outlineLevel="0" collapsed="false">
      <c r="A47" s="6" t="s">
        <v>97</v>
      </c>
      <c r="B47" s="7" t="s">
        <v>99</v>
      </c>
      <c r="C47" s="8" t="s">
        <v>75</v>
      </c>
      <c r="D47" s="9" t="s">
        <v>12</v>
      </c>
      <c r="E47" s="10" t="s">
        <v>78</v>
      </c>
      <c r="F47" s="11" t="s">
        <v>39</v>
      </c>
    </row>
    <row r="48" customFormat="false" ht="18" hidden="false" customHeight="true" outlineLevel="0" collapsed="false">
      <c r="A48" s="12" t="s">
        <v>100</v>
      </c>
      <c r="B48" s="13" t="s">
        <v>95</v>
      </c>
      <c r="C48" s="14" t="s">
        <v>79</v>
      </c>
      <c r="D48" s="15" t="s">
        <v>12</v>
      </c>
      <c r="E48" s="16" t="s">
        <v>76</v>
      </c>
      <c r="F48" s="17" t="s">
        <v>42</v>
      </c>
    </row>
    <row r="49" customFormat="false" ht="18" hidden="false" customHeight="true" outlineLevel="0" collapsed="false">
      <c r="A49" s="6" t="s">
        <v>100</v>
      </c>
      <c r="B49" s="18" t="s">
        <v>101</v>
      </c>
      <c r="C49" s="8" t="s">
        <v>73</v>
      </c>
      <c r="D49" s="9" t="s">
        <v>12</v>
      </c>
      <c r="E49" s="10" t="s">
        <v>81</v>
      </c>
      <c r="F49" s="11" t="s">
        <v>46</v>
      </c>
    </row>
    <row r="50" customFormat="false" ht="18" hidden="false" customHeight="true" outlineLevel="0" collapsed="false">
      <c r="A50" s="12" t="s">
        <v>100</v>
      </c>
      <c r="B50" s="19" t="s">
        <v>43</v>
      </c>
      <c r="C50" s="14" t="s">
        <v>82</v>
      </c>
      <c r="D50" s="15" t="s">
        <v>12</v>
      </c>
      <c r="E50" s="16" t="s">
        <v>89</v>
      </c>
      <c r="F50" s="17" t="s">
        <v>27</v>
      </c>
    </row>
    <row r="51" customFormat="false" ht="18" hidden="false" customHeight="true" outlineLevel="0" collapsed="false">
      <c r="A51" s="6" t="s">
        <v>100</v>
      </c>
      <c r="B51" s="7" t="s">
        <v>47</v>
      </c>
      <c r="C51" s="8" t="s">
        <v>84</v>
      </c>
      <c r="D51" s="9" t="s">
        <v>12</v>
      </c>
      <c r="E51" s="10" t="s">
        <v>87</v>
      </c>
      <c r="F51" s="11" t="s">
        <v>50</v>
      </c>
    </row>
    <row r="52" customFormat="false" ht="18" hidden="false" customHeight="true" outlineLevel="0" collapsed="false">
      <c r="A52" s="12" t="s">
        <v>102</v>
      </c>
      <c r="B52" s="13" t="s">
        <v>52</v>
      </c>
      <c r="C52" s="14" t="s">
        <v>88</v>
      </c>
      <c r="D52" s="15" t="s">
        <v>12</v>
      </c>
      <c r="E52" s="16" t="s">
        <v>85</v>
      </c>
      <c r="F52" s="17" t="s">
        <v>55</v>
      </c>
    </row>
    <row r="53" customFormat="false" ht="18" hidden="false" customHeight="true" outlineLevel="0" collapsed="false">
      <c r="A53" s="6" t="s">
        <v>102</v>
      </c>
      <c r="B53" s="18" t="s">
        <v>16</v>
      </c>
      <c r="C53" s="8" t="s">
        <v>90</v>
      </c>
      <c r="D53" s="9" t="s">
        <v>12</v>
      </c>
      <c r="E53" s="10" t="s">
        <v>83</v>
      </c>
      <c r="F53" s="11" t="s">
        <v>34</v>
      </c>
    </row>
    <row r="54" customFormat="false" ht="19.5" hidden="false" customHeight="true" outlineLevel="0" collapsed="false">
      <c r="A54" s="26" t="s">
        <v>103</v>
      </c>
      <c r="B54" s="26"/>
      <c r="C54" s="26"/>
      <c r="D54" s="26"/>
      <c r="E54" s="26"/>
      <c r="F54" s="26"/>
    </row>
    <row r="55" customFormat="false" ht="18" hidden="false" customHeight="true" outlineLevel="0" collapsed="false">
      <c r="A55" s="6" t="s">
        <v>102</v>
      </c>
      <c r="B55" s="7" t="s">
        <v>10</v>
      </c>
      <c r="C55" s="8" t="s">
        <v>21</v>
      </c>
      <c r="D55" s="9" t="s">
        <v>12</v>
      </c>
      <c r="E55" s="10" t="s">
        <v>32</v>
      </c>
      <c r="F55" s="11" t="s">
        <v>58</v>
      </c>
    </row>
    <row r="56" customFormat="false" ht="18" hidden="false" customHeight="true" outlineLevel="0" collapsed="false">
      <c r="A56" s="12" t="s">
        <v>102</v>
      </c>
      <c r="B56" s="19" t="s">
        <v>10</v>
      </c>
      <c r="C56" s="14" t="s">
        <v>33</v>
      </c>
      <c r="D56" s="15" t="s">
        <v>12</v>
      </c>
      <c r="E56" s="16" t="s">
        <v>20</v>
      </c>
      <c r="F56" s="17" t="s">
        <v>22</v>
      </c>
    </row>
    <row r="57" customFormat="false" ht="18" hidden="false" customHeight="true" outlineLevel="0" collapsed="false">
      <c r="A57" s="6" t="s">
        <v>104</v>
      </c>
      <c r="B57" s="18" t="s">
        <v>36</v>
      </c>
      <c r="C57" s="8" t="s">
        <v>38</v>
      </c>
      <c r="D57" s="9" t="s">
        <v>12</v>
      </c>
      <c r="E57" s="10" t="s">
        <v>40</v>
      </c>
      <c r="F57" s="11" t="s">
        <v>39</v>
      </c>
    </row>
    <row r="58" customFormat="false" ht="18" hidden="false" customHeight="true" outlineLevel="0" collapsed="false">
      <c r="A58" s="12" t="s">
        <v>104</v>
      </c>
      <c r="B58" s="13" t="s">
        <v>36</v>
      </c>
      <c r="C58" s="14" t="s">
        <v>41</v>
      </c>
      <c r="D58" s="15" t="s">
        <v>12</v>
      </c>
      <c r="E58" s="16" t="s">
        <v>37</v>
      </c>
      <c r="F58" s="17" t="s">
        <v>42</v>
      </c>
    </row>
    <row r="59" customFormat="false" ht="18" hidden="false" customHeight="true" outlineLevel="0" collapsed="false">
      <c r="A59" s="6" t="s">
        <v>104</v>
      </c>
      <c r="B59" s="18" t="s">
        <v>24</v>
      </c>
      <c r="C59" s="8" t="s">
        <v>18</v>
      </c>
      <c r="D59" s="9" t="s">
        <v>12</v>
      </c>
      <c r="E59" s="10" t="s">
        <v>11</v>
      </c>
      <c r="F59" s="11" t="s">
        <v>19</v>
      </c>
    </row>
    <row r="60" customFormat="false" ht="18" hidden="false" customHeight="true" outlineLevel="0" collapsed="false">
      <c r="A60" s="12" t="s">
        <v>104</v>
      </c>
      <c r="B60" s="13" t="s">
        <v>24</v>
      </c>
      <c r="C60" s="14" t="s">
        <v>13</v>
      </c>
      <c r="D60" s="15" t="s">
        <v>12</v>
      </c>
      <c r="E60" s="16" t="s">
        <v>17</v>
      </c>
      <c r="F60" s="17" t="s">
        <v>46</v>
      </c>
    </row>
    <row r="61" customFormat="false" ht="18" hidden="false" customHeight="true" outlineLevel="0" collapsed="false">
      <c r="A61" s="6" t="s">
        <v>104</v>
      </c>
      <c r="B61" s="7" t="s">
        <v>47</v>
      </c>
      <c r="C61" s="8" t="s">
        <v>45</v>
      </c>
      <c r="D61" s="9" t="s">
        <v>12</v>
      </c>
      <c r="E61" s="10" t="s">
        <v>53</v>
      </c>
      <c r="F61" s="11" t="s">
        <v>55</v>
      </c>
    </row>
    <row r="62" customFormat="false" ht="18" hidden="false" customHeight="true" outlineLevel="0" collapsed="false">
      <c r="A62" s="12" t="s">
        <v>104</v>
      </c>
      <c r="B62" s="19" t="s">
        <v>47</v>
      </c>
      <c r="C62" s="14" t="s">
        <v>54</v>
      </c>
      <c r="D62" s="15" t="s">
        <v>12</v>
      </c>
      <c r="E62" s="16" t="s">
        <v>44</v>
      </c>
      <c r="F62" s="17" t="s">
        <v>50</v>
      </c>
    </row>
    <row r="63" customFormat="false" ht="18" hidden="false" customHeight="true" outlineLevel="0" collapsed="false">
      <c r="A63" s="6" t="s">
        <v>105</v>
      </c>
      <c r="B63" s="18" t="s">
        <v>52</v>
      </c>
      <c r="C63" s="8" t="s">
        <v>56</v>
      </c>
      <c r="D63" s="9" t="s">
        <v>12</v>
      </c>
      <c r="E63" s="10" t="s">
        <v>48</v>
      </c>
      <c r="F63" s="11" t="s">
        <v>58</v>
      </c>
    </row>
    <row r="64" customFormat="false" ht="18" hidden="false" customHeight="true" outlineLevel="0" collapsed="false">
      <c r="A64" s="12" t="s">
        <v>105</v>
      </c>
      <c r="B64" s="13" t="s">
        <v>52</v>
      </c>
      <c r="C64" s="14" t="s">
        <v>49</v>
      </c>
      <c r="D64" s="15" t="s">
        <v>12</v>
      </c>
      <c r="E64" s="16" t="s">
        <v>57</v>
      </c>
      <c r="F64" s="17" t="s">
        <v>27</v>
      </c>
    </row>
    <row r="65" customFormat="false" ht="18" hidden="false" customHeight="true" outlineLevel="0" collapsed="false">
      <c r="A65" s="6" t="s">
        <v>105</v>
      </c>
      <c r="B65" s="18" t="s">
        <v>16</v>
      </c>
      <c r="C65" s="8" t="s">
        <v>30</v>
      </c>
      <c r="D65" s="9" t="s">
        <v>12</v>
      </c>
      <c r="E65" s="10" t="s">
        <v>25</v>
      </c>
      <c r="F65" s="11" t="s">
        <v>31</v>
      </c>
    </row>
    <row r="66" customFormat="false" ht="18" hidden="false" customHeight="true" outlineLevel="0" collapsed="false">
      <c r="A66" s="12" t="s">
        <v>105</v>
      </c>
      <c r="B66" s="13" t="s">
        <v>16</v>
      </c>
      <c r="C66" s="14" t="s">
        <v>26</v>
      </c>
      <c r="D66" s="15" t="s">
        <v>12</v>
      </c>
      <c r="E66" s="16" t="s">
        <v>29</v>
      </c>
      <c r="F66" s="17" t="s">
        <v>34</v>
      </c>
    </row>
    <row r="67" customFormat="false" ht="18" hidden="false" customHeight="true" outlineLevel="0" collapsed="false">
      <c r="A67" s="6" t="s">
        <v>105</v>
      </c>
      <c r="B67" s="7" t="s">
        <v>10</v>
      </c>
      <c r="C67" s="8" t="s">
        <v>79</v>
      </c>
      <c r="D67" s="9" t="s">
        <v>12</v>
      </c>
      <c r="E67" s="10" t="s">
        <v>75</v>
      </c>
      <c r="F67" s="11" t="s">
        <v>42</v>
      </c>
    </row>
    <row r="68" customFormat="false" ht="18" hidden="false" customHeight="true" outlineLevel="0" collapsed="false">
      <c r="A68" s="12" t="s">
        <v>105</v>
      </c>
      <c r="B68" s="19" t="s">
        <v>10</v>
      </c>
      <c r="C68" s="14" t="s">
        <v>76</v>
      </c>
      <c r="D68" s="15" t="s">
        <v>12</v>
      </c>
      <c r="E68" s="16" t="s">
        <v>78</v>
      </c>
      <c r="F68" s="17" t="s">
        <v>74</v>
      </c>
    </row>
    <row r="69" customFormat="false" ht="18" hidden="false" customHeight="true" outlineLevel="0" collapsed="false">
      <c r="A69" s="6" t="s">
        <v>106</v>
      </c>
      <c r="B69" s="18" t="s">
        <v>95</v>
      </c>
      <c r="C69" s="8" t="s">
        <v>98</v>
      </c>
      <c r="D69" s="9" t="s">
        <v>12</v>
      </c>
      <c r="E69" s="10" t="s">
        <v>67</v>
      </c>
      <c r="F69" s="11" t="s">
        <v>65</v>
      </c>
    </row>
    <row r="70" customFormat="false" ht="18" hidden="false" customHeight="true" outlineLevel="0" collapsed="false">
      <c r="A70" s="20" t="s">
        <v>106</v>
      </c>
      <c r="B70" s="27" t="s">
        <v>95</v>
      </c>
      <c r="C70" s="22" t="s">
        <v>107</v>
      </c>
      <c r="D70" s="23" t="s">
        <v>12</v>
      </c>
      <c r="E70" s="24" t="s">
        <v>60</v>
      </c>
      <c r="F70" s="25" t="s">
        <v>108</v>
      </c>
    </row>
    <row r="71" customFormat="false" ht="18" hidden="false" customHeight="true" outlineLevel="0" collapsed="false">
      <c r="A71" s="6" t="s">
        <v>106</v>
      </c>
      <c r="B71" s="18" t="s">
        <v>101</v>
      </c>
      <c r="C71" s="8" t="s">
        <v>70</v>
      </c>
      <c r="D71" s="9" t="s">
        <v>12</v>
      </c>
      <c r="E71" s="10" t="s">
        <v>63</v>
      </c>
      <c r="F71" s="11" t="s">
        <v>71</v>
      </c>
    </row>
    <row r="72" customFormat="false" ht="18" hidden="false" customHeight="true" outlineLevel="0" collapsed="false">
      <c r="A72" s="12" t="s">
        <v>106</v>
      </c>
      <c r="B72" s="13" t="s">
        <v>101</v>
      </c>
      <c r="C72" s="14" t="s">
        <v>64</v>
      </c>
      <c r="D72" s="15" t="s">
        <v>12</v>
      </c>
      <c r="E72" s="16" t="s">
        <v>69</v>
      </c>
      <c r="F72" s="17" t="s">
        <v>71</v>
      </c>
    </row>
    <row r="73" customFormat="false" ht="18" hidden="false" customHeight="true" outlineLevel="0" collapsed="false">
      <c r="A73" s="6" t="s">
        <v>106</v>
      </c>
      <c r="B73" s="7" t="s">
        <v>99</v>
      </c>
      <c r="C73" s="8" t="s">
        <v>88</v>
      </c>
      <c r="D73" s="9" t="s">
        <v>12</v>
      </c>
      <c r="E73" s="10" t="s">
        <v>84</v>
      </c>
      <c r="F73" s="11" t="s">
        <v>55</v>
      </c>
    </row>
    <row r="74" customFormat="false" ht="18" hidden="false" customHeight="true" outlineLevel="0" collapsed="false">
      <c r="A74" s="12" t="s">
        <v>106</v>
      </c>
      <c r="B74" s="19" t="s">
        <v>99</v>
      </c>
      <c r="C74" s="14" t="s">
        <v>85</v>
      </c>
      <c r="D74" s="15" t="s">
        <v>12</v>
      </c>
      <c r="E74" s="16" t="s">
        <v>87</v>
      </c>
      <c r="F74" s="17" t="s">
        <v>50</v>
      </c>
    </row>
    <row r="75" customFormat="false" ht="18" hidden="false" customHeight="true" outlineLevel="0" collapsed="false">
      <c r="A75" s="6" t="s">
        <v>109</v>
      </c>
      <c r="B75" s="18" t="s">
        <v>110</v>
      </c>
      <c r="C75" s="8" t="s">
        <v>90</v>
      </c>
      <c r="D75" s="9" t="s">
        <v>12</v>
      </c>
      <c r="E75" s="10" t="s">
        <v>82</v>
      </c>
      <c r="F75" s="11" t="s">
        <v>27</v>
      </c>
    </row>
    <row r="76" customFormat="false" ht="18" hidden="false" customHeight="true" outlineLevel="0" collapsed="false">
      <c r="A76" s="12" t="s">
        <v>109</v>
      </c>
      <c r="B76" s="13" t="s">
        <v>110</v>
      </c>
      <c r="C76" s="14" t="s">
        <v>83</v>
      </c>
      <c r="D76" s="15" t="s">
        <v>12</v>
      </c>
      <c r="E76" s="16" t="s">
        <v>89</v>
      </c>
      <c r="F76" s="17" t="s">
        <v>34</v>
      </c>
    </row>
    <row r="77" customFormat="false" ht="18" hidden="false" customHeight="true" outlineLevel="0" collapsed="false">
      <c r="A77" s="6" t="s">
        <v>109</v>
      </c>
      <c r="B77" s="18" t="s">
        <v>16</v>
      </c>
      <c r="C77" s="8" t="s">
        <v>81</v>
      </c>
      <c r="D77" s="9" t="s">
        <v>12</v>
      </c>
      <c r="E77" s="10" t="s">
        <v>72</v>
      </c>
      <c r="F77" s="11" t="s">
        <v>74</v>
      </c>
    </row>
    <row r="78" customFormat="false" ht="18" hidden="false" customHeight="true" outlineLevel="0" collapsed="false">
      <c r="A78" s="12" t="s">
        <v>109</v>
      </c>
      <c r="B78" s="13" t="s">
        <v>16</v>
      </c>
      <c r="C78" s="14" t="s">
        <v>73</v>
      </c>
      <c r="D78" s="15" t="s">
        <v>12</v>
      </c>
      <c r="E78" s="16" t="s">
        <v>80</v>
      </c>
      <c r="F78" s="17" t="s">
        <v>46</v>
      </c>
    </row>
    <row r="79" customFormat="false" ht="19.5" hidden="false" customHeight="true" outlineLevel="0" collapsed="false">
      <c r="A79" s="28" t="s">
        <v>111</v>
      </c>
      <c r="B79" s="28"/>
      <c r="C79" s="28"/>
      <c r="D79" s="28"/>
      <c r="E79" s="28"/>
      <c r="F79" s="28"/>
    </row>
    <row r="80" customFormat="false" ht="19.5" hidden="false" customHeight="true" outlineLevel="0" collapsed="false">
      <c r="A80" s="29" t="s">
        <v>112</v>
      </c>
      <c r="B80" s="29" t="s">
        <v>113</v>
      </c>
      <c r="C80" s="30" t="s">
        <v>114</v>
      </c>
      <c r="D80" s="30" t="s">
        <v>115</v>
      </c>
      <c r="E80" s="30" t="s">
        <v>116</v>
      </c>
      <c r="F80" s="30"/>
    </row>
    <row r="81" customFormat="false" ht="19.5" hidden="false" customHeight="true" outlineLevel="0" collapsed="false">
      <c r="A81" s="31" t="s">
        <v>117</v>
      </c>
      <c r="B81" s="31" t="s">
        <v>113</v>
      </c>
      <c r="C81" s="32" t="s">
        <v>118</v>
      </c>
      <c r="D81" s="32" t="s">
        <v>119</v>
      </c>
      <c r="E81" s="32" t="s">
        <v>120</v>
      </c>
      <c r="F81" s="32"/>
    </row>
    <row r="82" customFormat="false" ht="19.5" hidden="false" customHeight="true" outlineLevel="0" collapsed="false">
      <c r="A82" s="29" t="s">
        <v>121</v>
      </c>
      <c r="B82" s="29" t="s">
        <v>113</v>
      </c>
      <c r="C82" s="30" t="s">
        <v>122</v>
      </c>
      <c r="D82" s="30" t="s">
        <v>123</v>
      </c>
      <c r="E82" s="30" t="s">
        <v>124</v>
      </c>
      <c r="F82" s="30"/>
    </row>
    <row r="83" customFormat="false" ht="19.5" hidden="false" customHeight="true" outlineLevel="0" collapsed="false">
      <c r="A83" s="31" t="s">
        <v>125</v>
      </c>
      <c r="B83" s="31" t="s">
        <v>113</v>
      </c>
      <c r="C83" s="32" t="s">
        <v>126</v>
      </c>
      <c r="D83" s="32" t="s">
        <v>127</v>
      </c>
      <c r="E83" s="32" t="s">
        <v>128</v>
      </c>
      <c r="F83" s="32"/>
    </row>
    <row r="84" customFormat="false" ht="19.5" hidden="false" customHeight="true" outlineLevel="0" collapsed="false">
      <c r="A84" s="29" t="s">
        <v>129</v>
      </c>
      <c r="B84" s="29" t="s">
        <v>113</v>
      </c>
      <c r="C84" s="30" t="s">
        <v>130</v>
      </c>
      <c r="D84" s="30" t="s">
        <v>113</v>
      </c>
      <c r="E84" s="30" t="s">
        <v>131</v>
      </c>
      <c r="F84" s="30"/>
    </row>
    <row r="85" customFormat="false" ht="19.5" hidden="false" customHeight="true" outlineLevel="0" collapsed="false">
      <c r="A85" s="27" t="s">
        <v>132</v>
      </c>
      <c r="B85" s="27" t="s">
        <v>10</v>
      </c>
      <c r="C85" s="24" t="s">
        <v>133</v>
      </c>
      <c r="D85" s="24" t="s">
        <v>113</v>
      </c>
      <c r="E85" s="24" t="s">
        <v>134</v>
      </c>
      <c r="F85" s="24"/>
    </row>
  </sheetData>
  <mergeCells count="6">
    <mergeCell ref="A1:F1"/>
    <mergeCell ref="A2:F2"/>
    <mergeCell ref="A4:F4"/>
    <mergeCell ref="A29:F29"/>
    <mergeCell ref="A54:F54"/>
    <mergeCell ref="A79:F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40"/>
    <col collapsed="false" customWidth="true" hidden="false" outlineLevel="0" max="4" min="4" style="1" width="24"/>
  </cols>
  <sheetData>
    <row r="1" customFormat="false" ht="43.5" hidden="false" customHeight="true" outlineLevel="0" collapsed="false">
      <c r="A1" s="33" t="s">
        <v>135</v>
      </c>
      <c r="B1" s="33"/>
      <c r="C1" s="33"/>
      <c r="D1" s="33"/>
    </row>
    <row r="2" customFormat="false" ht="25.5" hidden="false" customHeight="true" outlineLevel="0" collapsed="false">
      <c r="A2" s="34" t="s">
        <v>136</v>
      </c>
      <c r="B2" s="34"/>
      <c r="C2" s="34"/>
      <c r="D2" s="34"/>
    </row>
    <row r="4" customFormat="false" ht="27.75" hidden="false" customHeight="true" outlineLevel="0" collapsed="false">
      <c r="A4" s="35" t="s">
        <v>137</v>
      </c>
      <c r="B4" s="35"/>
      <c r="C4" s="35"/>
      <c r="D4" s="35"/>
    </row>
    <row r="5" customFormat="false" ht="63.75" hidden="false" customHeight="true" outlineLevel="0" collapsed="false">
      <c r="B5" s="36" t="s">
        <v>138</v>
      </c>
      <c r="C5" s="37" t="s">
        <v>139</v>
      </c>
      <c r="D5" s="38" t="s">
        <v>140</v>
      </c>
    </row>
    <row r="6" customFormat="false" ht="63.75" hidden="false" customHeight="true" outlineLevel="0" collapsed="false">
      <c r="B6" s="36" t="s">
        <v>141</v>
      </c>
      <c r="C6" s="39" t="s">
        <v>142</v>
      </c>
      <c r="D6" s="40" t="s">
        <v>143</v>
      </c>
    </row>
    <row r="7" customFormat="false" ht="63.75" hidden="false" customHeight="true" outlineLevel="0" collapsed="false">
      <c r="B7" s="36" t="s">
        <v>144</v>
      </c>
      <c r="C7" s="41" t="s">
        <v>145</v>
      </c>
      <c r="D7" s="42" t="s">
        <v>146</v>
      </c>
    </row>
    <row r="8" customFormat="false" ht="63.75" hidden="false" customHeight="true" outlineLevel="0" collapsed="false">
      <c r="B8" s="36" t="s">
        <v>147</v>
      </c>
      <c r="C8" s="39" t="s">
        <v>148</v>
      </c>
      <c r="D8" s="40" t="s">
        <v>149</v>
      </c>
    </row>
    <row r="9" customFormat="false" ht="63.75" hidden="false" customHeight="true" outlineLevel="0" collapsed="false">
      <c r="B9" s="36" t="s">
        <v>150</v>
      </c>
      <c r="C9" s="37" t="s">
        <v>151</v>
      </c>
      <c r="D9" s="38" t="s">
        <v>152</v>
      </c>
    </row>
    <row r="10" customFormat="false" ht="63.75" hidden="false" customHeight="true" outlineLevel="0" collapsed="false">
      <c r="B10" s="36" t="s">
        <v>153</v>
      </c>
      <c r="C10" s="43" t="s">
        <v>154</v>
      </c>
      <c r="D10" s="44" t="s">
        <v>155</v>
      </c>
    </row>
    <row r="12" customFormat="false" ht="27.75" hidden="false" customHeight="true" outlineLevel="0" collapsed="false">
      <c r="A12" s="45" t="s">
        <v>156</v>
      </c>
      <c r="B12" s="45"/>
      <c r="C12" s="45"/>
      <c r="D12" s="45"/>
    </row>
    <row r="13" customFormat="false" ht="19.5" hidden="false" customHeight="true" outlineLevel="0" collapsed="false">
      <c r="B13" s="46" t="s">
        <v>157</v>
      </c>
      <c r="C13" s="46"/>
      <c r="D13" s="46"/>
    </row>
    <row r="14" customFormat="false" ht="19.5" hidden="false" customHeight="true" outlineLevel="0" collapsed="false">
      <c r="B14" s="47" t="s">
        <v>158</v>
      </c>
      <c r="C14" s="48" t="s">
        <v>159</v>
      </c>
      <c r="D14" s="48"/>
    </row>
    <row r="15" customFormat="false" ht="19.5" hidden="false" customHeight="true" outlineLevel="0" collapsed="false">
      <c r="B15" s="49" t="s">
        <v>160</v>
      </c>
      <c r="C15" s="50" t="s">
        <v>161</v>
      </c>
      <c r="D15" s="50"/>
    </row>
    <row r="16" customFormat="false" ht="30" hidden="false" customHeight="true" outlineLevel="0" collapsed="false">
      <c r="B16" s="51" t="s">
        <v>162</v>
      </c>
      <c r="C16" s="52"/>
      <c r="D16" s="52"/>
    </row>
    <row r="17" customFormat="false" ht="19.5" hidden="false" customHeight="true" outlineLevel="0" collapsed="false">
      <c r="B17" s="47" t="s">
        <v>163</v>
      </c>
      <c r="C17" s="48" t="s">
        <v>164</v>
      </c>
      <c r="D17" s="48"/>
    </row>
    <row r="18" customFormat="false" ht="19.5" hidden="false" customHeight="true" outlineLevel="0" collapsed="false">
      <c r="B18" s="49" t="s">
        <v>165</v>
      </c>
      <c r="C18" s="50" t="s">
        <v>166</v>
      </c>
      <c r="D18" s="50"/>
    </row>
    <row r="19" customFormat="false" ht="19.5" hidden="false" customHeight="true" outlineLevel="0" collapsed="false">
      <c r="B19" s="47" t="s">
        <v>167</v>
      </c>
      <c r="C19" s="48" t="s">
        <v>168</v>
      </c>
      <c r="D19" s="48"/>
    </row>
    <row r="20" customFormat="false" ht="30" hidden="false" customHeight="true" outlineLevel="0" collapsed="false">
      <c r="B20" s="51" t="s">
        <v>169</v>
      </c>
      <c r="C20" s="52" t="s">
        <v>170</v>
      </c>
      <c r="D20" s="52"/>
    </row>
    <row r="21" customFormat="false" ht="19.5" hidden="false" customHeight="true" outlineLevel="0" collapsed="false">
      <c r="B21" s="46" t="s">
        <v>171</v>
      </c>
      <c r="C21" s="46"/>
      <c r="D21" s="46"/>
    </row>
    <row r="22" customFormat="false" ht="19.5" hidden="false" customHeight="true" outlineLevel="0" collapsed="false">
      <c r="B22" s="47" t="s">
        <v>172</v>
      </c>
      <c r="C22" s="48" t="s">
        <v>173</v>
      </c>
      <c r="D22" s="48"/>
    </row>
    <row r="23" customFormat="false" ht="19.5" hidden="false" customHeight="true" outlineLevel="0" collapsed="false">
      <c r="B23" s="49" t="s">
        <v>174</v>
      </c>
      <c r="C23" s="50" t="s">
        <v>175</v>
      </c>
      <c r="D23" s="50"/>
    </row>
    <row r="24" customFormat="false" ht="19.5" hidden="false" customHeight="true" outlineLevel="0" collapsed="false">
      <c r="B24" s="47" t="s">
        <v>176</v>
      </c>
      <c r="C24" s="48" t="s">
        <v>177</v>
      </c>
      <c r="D24" s="48"/>
    </row>
    <row r="25" customFormat="false" ht="19.5" hidden="false" customHeight="true" outlineLevel="0" collapsed="false">
      <c r="B25" s="49" t="s">
        <v>178</v>
      </c>
      <c r="C25" s="50" t="s">
        <v>179</v>
      </c>
      <c r="D25" s="50"/>
    </row>
    <row r="26" customFormat="false" ht="19.5" hidden="false" customHeight="true" outlineLevel="0" collapsed="false">
      <c r="B26" s="47" t="s">
        <v>180</v>
      </c>
      <c r="C26" s="48" t="s">
        <v>181</v>
      </c>
      <c r="D26" s="48"/>
    </row>
    <row r="27" customFormat="false" ht="19.5" hidden="false" customHeight="true" outlineLevel="0" collapsed="false">
      <c r="B27" s="49" t="s">
        <v>182</v>
      </c>
      <c r="C27" s="50" t="s">
        <v>183</v>
      </c>
      <c r="D27" s="50"/>
    </row>
    <row r="28" customFormat="false" ht="19.5" hidden="false" customHeight="true" outlineLevel="0" collapsed="false">
      <c r="B28" s="51" t="s">
        <v>184</v>
      </c>
      <c r="C28" s="52" t="s">
        <v>185</v>
      </c>
      <c r="D28" s="52"/>
    </row>
    <row r="29" customFormat="false" ht="19.5" hidden="false" customHeight="true" outlineLevel="0" collapsed="false">
      <c r="B29" s="46" t="s">
        <v>186</v>
      </c>
      <c r="C29" s="46"/>
      <c r="D29" s="46"/>
    </row>
    <row r="30" customFormat="false" ht="19.5" hidden="false" customHeight="true" outlineLevel="0" collapsed="false">
      <c r="B30" s="51" t="s">
        <v>187</v>
      </c>
      <c r="C30" s="52" t="s">
        <v>188</v>
      </c>
      <c r="D30" s="52"/>
    </row>
    <row r="32" customFormat="false" ht="27.75" hidden="false" customHeight="true" outlineLevel="0" collapsed="false">
      <c r="A32" s="53" t="s">
        <v>189</v>
      </c>
      <c r="B32" s="53"/>
      <c r="C32" s="53"/>
      <c r="D32" s="53"/>
    </row>
    <row r="33" customFormat="false" ht="19.5" hidden="false" customHeight="true" outlineLevel="0" collapsed="false">
      <c r="B33" s="54" t="s">
        <v>190</v>
      </c>
      <c r="C33" s="55" t="s">
        <v>191</v>
      </c>
      <c r="D33" s="55"/>
    </row>
    <row r="34" customFormat="false" ht="19.5" hidden="false" customHeight="true" outlineLevel="0" collapsed="false">
      <c r="B34" s="56" t="s">
        <v>192</v>
      </c>
      <c r="C34" s="57" t="s">
        <v>193</v>
      </c>
      <c r="D34" s="57"/>
    </row>
    <row r="35" customFormat="false" ht="19.5" hidden="false" customHeight="true" outlineLevel="0" collapsed="false">
      <c r="B35" s="58" t="s">
        <v>194</v>
      </c>
      <c r="C35" s="59" t="s">
        <v>195</v>
      </c>
      <c r="D35" s="59"/>
    </row>
    <row r="36" customFormat="false" ht="19.5" hidden="false" customHeight="true" outlineLevel="0" collapsed="false">
      <c r="B36" s="60" t="s">
        <v>196</v>
      </c>
      <c r="C36" s="61" t="s">
        <v>197</v>
      </c>
      <c r="D36" s="61"/>
    </row>
    <row r="37" customFormat="false" ht="19.5" hidden="false" customHeight="true" outlineLevel="0" collapsed="false">
      <c r="B37" s="62" t="s">
        <v>198</v>
      </c>
      <c r="C37" s="63" t="s">
        <v>199</v>
      </c>
      <c r="D37" s="63"/>
    </row>
  </sheetData>
  <mergeCells count="28">
    <mergeCell ref="A1:D1"/>
    <mergeCell ref="A2:D2"/>
    <mergeCell ref="A4:D4"/>
    <mergeCell ref="A12:D12"/>
    <mergeCell ref="B13:D13"/>
    <mergeCell ref="C14:D14"/>
    <mergeCell ref="C15:D15"/>
    <mergeCell ref="C16:D16"/>
    <mergeCell ref="C17:D17"/>
    <mergeCell ref="C18:D18"/>
    <mergeCell ref="C19:D19"/>
    <mergeCell ref="C20:D20"/>
    <mergeCell ref="B21:D21"/>
    <mergeCell ref="C22:D22"/>
    <mergeCell ref="C23:D23"/>
    <mergeCell ref="C24:D24"/>
    <mergeCell ref="C25:D25"/>
    <mergeCell ref="C26:D26"/>
    <mergeCell ref="C27:D27"/>
    <mergeCell ref="C28:D28"/>
    <mergeCell ref="B29:D29"/>
    <mergeCell ref="C30:D30"/>
    <mergeCell ref="A32:D32"/>
    <mergeCell ref="C33:D33"/>
    <mergeCell ref="C34:D34"/>
    <mergeCell ref="C35:D35"/>
    <mergeCell ref="C36:D36"/>
    <mergeCell ref="C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200</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11</v>
      </c>
      <c r="C5" s="72" t="n">
        <v>2</v>
      </c>
      <c r="D5" s="72" t="n">
        <v>0</v>
      </c>
      <c r="E5" s="72" t="s">
        <v>212</v>
      </c>
      <c r="F5" s="73" t="s">
        <v>5</v>
      </c>
      <c r="G5" s="74" t="s">
        <v>13</v>
      </c>
      <c r="H5" s="75"/>
      <c r="I5" s="75"/>
      <c r="J5" s="76" t="str">
        <f aca="false">IF(AND(H5&lt;&gt;"",I5&lt;&gt;"",E5&lt;&gt;""),IF(OR(AND(UPPER(E5)="1",H5&gt;I5),AND(UPPER(E5)="X",H5=I5),AND(UPPER(E5)="2",H5&lt;I5)),1,0),"")</f>
        <v/>
      </c>
      <c r="K5" s="76" t="str">
        <f aca="false">IF(AND(H5&lt;&gt;"",I5&lt;&gt;"",C5&lt;&gt;"",D5&lt;&gt;""),IF(AND(H5=C5,I5=D5),3,0),"")</f>
        <v/>
      </c>
      <c r="L5" s="77" t="s">
        <v>213</v>
      </c>
      <c r="M5" s="78" t="s">
        <v>10</v>
      </c>
    </row>
    <row r="6" customFormat="false" ht="21.75" hidden="false" customHeight="true" outlineLevel="0" collapsed="false">
      <c r="A6" s="79" t="n">
        <v>1</v>
      </c>
      <c r="B6" s="80" t="s">
        <v>17</v>
      </c>
      <c r="C6" s="72" t="n">
        <v>1</v>
      </c>
      <c r="D6" s="72" t="n">
        <v>1</v>
      </c>
      <c r="E6" s="72" t="s">
        <v>214</v>
      </c>
      <c r="F6" s="81" t="s">
        <v>5</v>
      </c>
      <c r="G6" s="82" t="s">
        <v>18</v>
      </c>
      <c r="H6" s="75"/>
      <c r="I6" s="75"/>
      <c r="J6" s="83" t="str">
        <f aca="false">IF(AND(H6&lt;&gt;"",I6&lt;&gt;"",E6&lt;&gt;""),IF(OR(AND(UPPER(E6)="1",H6&gt;I6),AND(UPPER(E6)="X",H6=I6),AND(UPPER(E6)="2",H6&lt;I6)),1,0),"")</f>
        <v/>
      </c>
      <c r="K6" s="83" t="str">
        <f aca="false">IF(AND(H6&lt;&gt;"",I6&lt;&gt;"",C6&lt;&gt;"",D6&lt;&gt;""),IF(AND(H6=C6,I6=D6),3,0),"")</f>
        <v/>
      </c>
      <c r="L6" s="84" t="s">
        <v>215</v>
      </c>
      <c r="M6" s="85" t="s">
        <v>16</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11</v>
      </c>
      <c r="C8" s="72" t="n">
        <v>1</v>
      </c>
      <c r="D8" s="72" t="n">
        <v>0</v>
      </c>
      <c r="E8" s="72" t="s">
        <v>212</v>
      </c>
      <c r="F8" s="81" t="s">
        <v>5</v>
      </c>
      <c r="G8" s="82" t="s">
        <v>17</v>
      </c>
      <c r="H8" s="75"/>
      <c r="I8" s="75"/>
      <c r="J8" s="83" t="str">
        <f aca="false">IF(AND(H8&lt;&gt;"",I8&lt;&gt;"",E8&lt;&gt;""),IF(OR(AND(UPPER(E8)="1",H8&gt;I8),AND(UPPER(E8)="X",H8=I8),AND(UPPER(E8)="2",H8&lt;I8)),1,0),"")</f>
        <v/>
      </c>
      <c r="K8" s="83" t="str">
        <f aca="false">IF(AND(H8&lt;&gt;"",I8&lt;&gt;"",C8&lt;&gt;"",D8&lt;&gt;""),IF(AND(H8=C8,I8=D8),3,0),"")</f>
        <v/>
      </c>
      <c r="L8" s="84" t="s">
        <v>217</v>
      </c>
      <c r="M8" s="85" t="s">
        <v>24</v>
      </c>
    </row>
    <row r="9" customFormat="false" ht="21.75" hidden="false" customHeight="true" outlineLevel="0" collapsed="false">
      <c r="A9" s="70" t="n">
        <v>2</v>
      </c>
      <c r="B9" s="71" t="s">
        <v>13</v>
      </c>
      <c r="C9" s="72" t="n">
        <v>1</v>
      </c>
      <c r="D9" s="72" t="n">
        <v>2</v>
      </c>
      <c r="E9" s="72" t="s">
        <v>218</v>
      </c>
      <c r="F9" s="73" t="s">
        <v>5</v>
      </c>
      <c r="G9" s="74" t="s">
        <v>18</v>
      </c>
      <c r="H9" s="75"/>
      <c r="I9" s="75"/>
      <c r="J9" s="76" t="str">
        <f aca="false">IF(AND(H9&lt;&gt;"",I9&lt;&gt;"",E9&lt;&gt;""),IF(OR(AND(UPPER(E9)="1",H9&gt;I9),AND(UPPER(E9)="X",H9=I9),AND(UPPER(E9)="2",H9&lt;I9)),1,0),"")</f>
        <v/>
      </c>
      <c r="K9" s="76" t="str">
        <f aca="false">IF(AND(H9&lt;&gt;"",I9&lt;&gt;"",C9&lt;&gt;"",D9&lt;&gt;""),IF(AND(H9=C9,I9=D9),3,0),"")</f>
        <v/>
      </c>
      <c r="L9" s="77" t="s">
        <v>219</v>
      </c>
      <c r="M9" s="78" t="s">
        <v>59</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18</v>
      </c>
      <c r="C11" s="72" t="n">
        <v>0</v>
      </c>
      <c r="D11" s="72" t="n">
        <v>2</v>
      </c>
      <c r="E11" s="72" t="s">
        <v>218</v>
      </c>
      <c r="F11" s="73" t="s">
        <v>5</v>
      </c>
      <c r="G11" s="74" t="s">
        <v>11</v>
      </c>
      <c r="H11" s="75"/>
      <c r="I11" s="75"/>
      <c r="J11" s="76" t="str">
        <f aca="false">IF(AND(H11&lt;&gt;"",I11&lt;&gt;"",E11&lt;&gt;""),IF(OR(AND(UPPER(E11)="1",H11&gt;I11),AND(UPPER(E11)="X",H11=I11),AND(UPPER(E11)="2",H11&lt;I11)),1,0),"")</f>
        <v/>
      </c>
      <c r="K11" s="76" t="str">
        <f aca="false">IF(AND(H11&lt;&gt;"",I11&lt;&gt;"",C11&lt;&gt;"",D11&lt;&gt;""),IF(AND(H11=C11,I11=D11),3,0),"")</f>
        <v/>
      </c>
      <c r="L11" s="77" t="s">
        <v>221</v>
      </c>
      <c r="M11" s="86" t="s">
        <v>24</v>
      </c>
    </row>
    <row r="12" customFormat="false" ht="21.75" hidden="false" customHeight="true" outlineLevel="0" collapsed="false">
      <c r="A12" s="79" t="n">
        <v>3</v>
      </c>
      <c r="B12" s="80" t="s">
        <v>13</v>
      </c>
      <c r="C12" s="72" t="n">
        <v>1</v>
      </c>
      <c r="D12" s="72" t="n">
        <v>1</v>
      </c>
      <c r="E12" s="72" t="s">
        <v>214</v>
      </c>
      <c r="F12" s="81" t="s">
        <v>5</v>
      </c>
      <c r="G12" s="82" t="s">
        <v>17</v>
      </c>
      <c r="H12" s="75"/>
      <c r="I12" s="75"/>
      <c r="J12" s="83" t="str">
        <f aca="false">IF(AND(H12&lt;&gt;"",I12&lt;&gt;"",E12&lt;&gt;""),IF(OR(AND(UPPER(E12)="1",H12&gt;I12),AND(UPPER(E12)="X",H12=I12),AND(UPPER(E12)="2",H12&lt;I12)),1,0),"")</f>
        <v/>
      </c>
      <c r="K12" s="83" t="str">
        <f aca="false">IF(AND(H12&lt;&gt;"",I12&lt;&gt;"",C12&lt;&gt;"",D12&lt;&gt;""),IF(AND(H12=C12,I12=D12),3,0),"")</f>
        <v/>
      </c>
      <c r="L12" s="84" t="s">
        <v>221</v>
      </c>
      <c r="M12" s="85" t="s">
        <v>24</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11</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17</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18</v>
      </c>
      <c r="C18" s="92"/>
      <c r="D18" s="92"/>
      <c r="E18" s="92"/>
      <c r="F18" s="92"/>
      <c r="G18" s="93"/>
      <c r="H18" s="93"/>
      <c r="I18" s="93"/>
      <c r="J18" s="94"/>
      <c r="K18" s="94"/>
      <c r="L18" s="94"/>
      <c r="M18" s="94"/>
    </row>
    <row r="20" customFormat="false" ht="21.75" hidden="false" customHeight="true" outlineLevel="0" collapsed="false">
      <c r="A20" s="95" t="s">
        <v>230</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236</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20</v>
      </c>
      <c r="C5" s="72" t="n">
        <v>2</v>
      </c>
      <c r="D5" s="72" t="n">
        <v>1</v>
      </c>
      <c r="E5" s="72" t="s">
        <v>212</v>
      </c>
      <c r="F5" s="73" t="s">
        <v>5</v>
      </c>
      <c r="G5" s="74" t="s">
        <v>21</v>
      </c>
      <c r="H5" s="75"/>
      <c r="I5" s="75"/>
      <c r="J5" s="76" t="str">
        <f aca="false">IF(AND(H5&lt;&gt;"",I5&lt;&gt;"",E5&lt;&gt;""),IF(OR(AND(UPPER(E5)="1",H5&gt;I5),AND(UPPER(E5)="X",H5=I5),AND(UPPER(E5)="2",H5&lt;I5)),1,0),"")</f>
        <v/>
      </c>
      <c r="K5" s="76" t="str">
        <f aca="false">IF(AND(H5&lt;&gt;"",I5&lt;&gt;"",C5&lt;&gt;"",D5&lt;&gt;""),IF(AND(H5=C5,I5=D5),3,0),"")</f>
        <v/>
      </c>
      <c r="L5" s="77" t="s">
        <v>215</v>
      </c>
      <c r="M5" s="78" t="s">
        <v>10</v>
      </c>
    </row>
    <row r="6" customFormat="false" ht="21.75" hidden="false" customHeight="true" outlineLevel="0" collapsed="false">
      <c r="A6" s="79" t="n">
        <v>1</v>
      </c>
      <c r="B6" s="80" t="s">
        <v>32</v>
      </c>
      <c r="C6" s="72" t="n">
        <v>0</v>
      </c>
      <c r="D6" s="72" t="n">
        <v>2</v>
      </c>
      <c r="E6" s="72" t="s">
        <v>218</v>
      </c>
      <c r="F6" s="81" t="s">
        <v>5</v>
      </c>
      <c r="G6" s="82" t="s">
        <v>33</v>
      </c>
      <c r="H6" s="75"/>
      <c r="I6" s="75"/>
      <c r="J6" s="83" t="str">
        <f aca="false">IF(AND(H6&lt;&gt;"",I6&lt;&gt;"",E6&lt;&gt;""),IF(OR(AND(UPPER(E6)="1",H6&gt;I6),AND(UPPER(E6)="X",H6=I6),AND(UPPER(E6)="2",H6&lt;I6)),1,0),"")</f>
        <v/>
      </c>
      <c r="K6" s="83" t="str">
        <f aca="false">IF(AND(H6&lt;&gt;"",I6&lt;&gt;"",C6&lt;&gt;"",D6&lt;&gt;""),IF(AND(H6=C6,I6=D6),3,0),"")</f>
        <v/>
      </c>
      <c r="L6" s="84" t="s">
        <v>237</v>
      </c>
      <c r="M6" s="99" t="s">
        <v>10</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20</v>
      </c>
      <c r="C8" s="72" t="n">
        <v>2</v>
      </c>
      <c r="D8" s="72" t="n">
        <v>0</v>
      </c>
      <c r="E8" s="72" t="s">
        <v>212</v>
      </c>
      <c r="F8" s="81" t="s">
        <v>5</v>
      </c>
      <c r="G8" s="82" t="s">
        <v>32</v>
      </c>
      <c r="H8" s="75"/>
      <c r="I8" s="75"/>
      <c r="J8" s="83" t="str">
        <f aca="false">IF(AND(H8&lt;&gt;"",I8&lt;&gt;"",E8&lt;&gt;""),IF(OR(AND(UPPER(E8)="1",H8&gt;I8),AND(UPPER(E8)="X",H8=I8),AND(UPPER(E8)="2",H8&lt;I8)),1,0),"")</f>
        <v/>
      </c>
      <c r="K8" s="83" t="str">
        <f aca="false">IF(AND(H8&lt;&gt;"",I8&lt;&gt;"",C8&lt;&gt;"",D8&lt;&gt;""),IF(AND(H8=C8,I8=D8),3,0),"")</f>
        <v/>
      </c>
      <c r="L8" s="84" t="s">
        <v>217</v>
      </c>
      <c r="M8" s="85" t="s">
        <v>36</v>
      </c>
    </row>
    <row r="9" customFormat="false" ht="21.75" hidden="false" customHeight="true" outlineLevel="0" collapsed="false">
      <c r="A9" s="70" t="n">
        <v>2</v>
      </c>
      <c r="B9" s="71" t="s">
        <v>33</v>
      </c>
      <c r="C9" s="72" t="n">
        <v>2</v>
      </c>
      <c r="D9" s="72" t="n">
        <v>0</v>
      </c>
      <c r="E9" s="72" t="s">
        <v>212</v>
      </c>
      <c r="F9" s="73" t="s">
        <v>5</v>
      </c>
      <c r="G9" s="74" t="s">
        <v>21</v>
      </c>
      <c r="H9" s="75"/>
      <c r="I9" s="75"/>
      <c r="J9" s="76" t="str">
        <f aca="false">IF(AND(H9&lt;&gt;"",I9&lt;&gt;"",E9&lt;&gt;""),IF(OR(AND(UPPER(E9)="1",H9&gt;I9),AND(UPPER(E9)="X",H9=I9),AND(UPPER(E9)="2",H9&lt;I9)),1,0),"")</f>
        <v/>
      </c>
      <c r="K9" s="76" t="str">
        <f aca="false">IF(AND(H9&lt;&gt;"",I9&lt;&gt;"",C9&lt;&gt;"",D9&lt;&gt;""),IF(AND(H9=C9,I9=D9),3,0),"")</f>
        <v/>
      </c>
      <c r="L9" s="77" t="s">
        <v>219</v>
      </c>
      <c r="M9" s="78" t="s">
        <v>10</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21</v>
      </c>
      <c r="C11" s="72" t="n">
        <v>1</v>
      </c>
      <c r="D11" s="72" t="n">
        <v>0</v>
      </c>
      <c r="E11" s="72" t="s">
        <v>212</v>
      </c>
      <c r="F11" s="73" t="s">
        <v>5</v>
      </c>
      <c r="G11" s="74" t="s">
        <v>32</v>
      </c>
      <c r="H11" s="75"/>
      <c r="I11" s="75"/>
      <c r="J11" s="76" t="str">
        <f aca="false">IF(AND(H11&lt;&gt;"",I11&lt;&gt;"",E11&lt;&gt;""),IF(OR(AND(UPPER(E11)="1",H11&gt;I11),AND(UPPER(E11)="X",H11=I11),AND(UPPER(E11)="2",H11&lt;I11)),1,0),"")</f>
        <v/>
      </c>
      <c r="K11" s="76" t="str">
        <f aca="false">IF(AND(H11&lt;&gt;"",I11&lt;&gt;"",C11&lt;&gt;"",D11&lt;&gt;""),IF(AND(H11=C11,I11=D11),3,0),"")</f>
        <v/>
      </c>
      <c r="L11" s="77" t="s">
        <v>238</v>
      </c>
      <c r="M11" s="78" t="s">
        <v>10</v>
      </c>
    </row>
    <row r="12" customFormat="false" ht="21.75" hidden="false" customHeight="true" outlineLevel="0" collapsed="false">
      <c r="A12" s="79" t="n">
        <v>3</v>
      </c>
      <c r="B12" s="80" t="s">
        <v>33</v>
      </c>
      <c r="C12" s="72" t="n">
        <v>1</v>
      </c>
      <c r="D12" s="72" t="n">
        <v>1</v>
      </c>
      <c r="E12" s="72" t="s">
        <v>214</v>
      </c>
      <c r="F12" s="81" t="s">
        <v>5</v>
      </c>
      <c r="G12" s="82" t="s">
        <v>20</v>
      </c>
      <c r="H12" s="75"/>
      <c r="I12" s="75"/>
      <c r="J12" s="83" t="str">
        <f aca="false">IF(AND(H12&lt;&gt;"",I12&lt;&gt;"",E12&lt;&gt;""),IF(OR(AND(UPPER(E12)="1",H12&gt;I12),AND(UPPER(E12)="X",H12=I12),AND(UPPER(E12)="2",H12&lt;I12)),1,0),"")</f>
        <v/>
      </c>
      <c r="K12" s="83" t="str">
        <f aca="false">IF(AND(H12&lt;&gt;"",I12&lt;&gt;"",C12&lt;&gt;"",D12&lt;&gt;""),IF(AND(H12=C12,I12=D12),3,0),"")</f>
        <v/>
      </c>
      <c r="L12" s="84" t="s">
        <v>238</v>
      </c>
      <c r="M12" s="99" t="s">
        <v>10</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33</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20</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21</v>
      </c>
      <c r="C18" s="92"/>
      <c r="D18" s="92"/>
      <c r="E18" s="92"/>
      <c r="F18" s="92"/>
      <c r="G18" s="93"/>
      <c r="H18" s="93"/>
      <c r="I18" s="93"/>
      <c r="J18" s="94"/>
      <c r="K18" s="94"/>
      <c r="L18" s="94"/>
      <c r="M18" s="94"/>
    </row>
    <row r="20" customFormat="false" ht="21.75" hidden="false" customHeight="true" outlineLevel="0" collapsed="false">
      <c r="A20" s="95" t="s">
        <v>239</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240</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37</v>
      </c>
      <c r="C5" s="72" t="n">
        <v>2</v>
      </c>
      <c r="D5" s="72" t="n">
        <v>0</v>
      </c>
      <c r="E5" s="72" t="s">
        <v>212</v>
      </c>
      <c r="F5" s="73" t="s">
        <v>5</v>
      </c>
      <c r="G5" s="74" t="s">
        <v>38</v>
      </c>
      <c r="H5" s="75"/>
      <c r="I5" s="75"/>
      <c r="J5" s="76" t="str">
        <f aca="false">IF(AND(H5&lt;&gt;"",I5&lt;&gt;"",E5&lt;&gt;""),IF(OR(AND(UPPER(E5)="1",H5&gt;I5),AND(UPPER(E5)="X",H5=I5),AND(UPPER(E5)="2",H5&lt;I5)),1,0),"")</f>
        <v/>
      </c>
      <c r="K5" s="76" t="str">
        <f aca="false">IF(AND(H5&lt;&gt;"",I5&lt;&gt;"",C5&lt;&gt;"",D5&lt;&gt;""),IF(AND(H5=C5,I5=D5),3,0),"")</f>
        <v/>
      </c>
      <c r="L5" s="77" t="s">
        <v>241</v>
      </c>
      <c r="M5" s="86" t="s">
        <v>36</v>
      </c>
    </row>
    <row r="6" customFormat="false" ht="21.75" hidden="false" customHeight="true" outlineLevel="0" collapsed="false">
      <c r="A6" s="79" t="n">
        <v>1</v>
      </c>
      <c r="B6" s="80" t="s">
        <v>40</v>
      </c>
      <c r="C6" s="72" t="n">
        <v>0</v>
      </c>
      <c r="D6" s="72" t="n">
        <v>2</v>
      </c>
      <c r="E6" s="72" t="s">
        <v>218</v>
      </c>
      <c r="F6" s="81" t="s">
        <v>5</v>
      </c>
      <c r="G6" s="82" t="s">
        <v>41</v>
      </c>
      <c r="H6" s="75"/>
      <c r="I6" s="75"/>
      <c r="J6" s="83" t="str">
        <f aca="false">IF(AND(H6&lt;&gt;"",I6&lt;&gt;"",E6&lt;&gt;""),IF(OR(AND(UPPER(E6)="1",H6&gt;I6),AND(UPPER(E6)="X",H6=I6),AND(UPPER(E6)="2",H6&lt;I6)),1,0),"")</f>
        <v/>
      </c>
      <c r="K6" s="83" t="str">
        <f aca="false">IF(AND(H6&lt;&gt;"",I6&lt;&gt;"",C6&lt;&gt;"",D6&lt;&gt;""),IF(AND(H6=C6,I6=D6),3,0),"")</f>
        <v/>
      </c>
      <c r="L6" s="84" t="s">
        <v>241</v>
      </c>
      <c r="M6" s="85" t="s">
        <v>24</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37</v>
      </c>
      <c r="C8" s="72" t="n">
        <v>3</v>
      </c>
      <c r="D8" s="72" t="n">
        <v>0</v>
      </c>
      <c r="E8" s="72" t="s">
        <v>212</v>
      </c>
      <c r="F8" s="81" t="s">
        <v>5</v>
      </c>
      <c r="G8" s="82" t="s">
        <v>40</v>
      </c>
      <c r="H8" s="75"/>
      <c r="I8" s="75"/>
      <c r="J8" s="83" t="str">
        <f aca="false">IF(AND(H8&lt;&gt;"",I8&lt;&gt;"",E8&lt;&gt;""),IF(OR(AND(UPPER(E8)="1",H8&gt;I8),AND(UPPER(E8)="X",H8=I8),AND(UPPER(E8)="2",H8&lt;I8)),1,0),"")</f>
        <v/>
      </c>
      <c r="K8" s="83" t="str">
        <f aca="false">IF(AND(H8&lt;&gt;"",I8&lt;&gt;"",C8&lt;&gt;"",D8&lt;&gt;""),IF(AND(H8=C8,I8=D8),3,0),"")</f>
        <v/>
      </c>
      <c r="L8" s="84" t="s">
        <v>242</v>
      </c>
      <c r="M8" s="85" t="s">
        <v>24</v>
      </c>
    </row>
    <row r="9" customFormat="false" ht="21.75" hidden="false" customHeight="true" outlineLevel="0" collapsed="false">
      <c r="A9" s="70" t="n">
        <v>2</v>
      </c>
      <c r="B9" s="71" t="s">
        <v>41</v>
      </c>
      <c r="C9" s="72" t="n">
        <v>1</v>
      </c>
      <c r="D9" s="72" t="n">
        <v>2</v>
      </c>
      <c r="E9" s="72" t="s">
        <v>218</v>
      </c>
      <c r="F9" s="73" t="s">
        <v>5</v>
      </c>
      <c r="G9" s="74" t="s">
        <v>38</v>
      </c>
      <c r="H9" s="75"/>
      <c r="I9" s="75"/>
      <c r="J9" s="76" t="str">
        <f aca="false">IF(AND(H9&lt;&gt;"",I9&lt;&gt;"",E9&lt;&gt;""),IF(OR(AND(UPPER(E9)="1",H9&gt;I9),AND(UPPER(E9)="X",H9=I9),AND(UPPER(E9)="2",H9&lt;I9)),1,0),"")</f>
        <v/>
      </c>
      <c r="K9" s="76" t="str">
        <f aca="false">IF(AND(H9&lt;&gt;"",I9&lt;&gt;"",C9&lt;&gt;"",D9&lt;&gt;""),IF(AND(H9=C9,I9=D9),3,0),"")</f>
        <v/>
      </c>
      <c r="L9" s="77" t="s">
        <v>242</v>
      </c>
      <c r="M9" s="86" t="s">
        <v>36</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38</v>
      </c>
      <c r="C11" s="72" t="n">
        <v>2</v>
      </c>
      <c r="D11" s="72" t="n">
        <v>0</v>
      </c>
      <c r="E11" s="72" t="s">
        <v>212</v>
      </c>
      <c r="F11" s="73" t="s">
        <v>5</v>
      </c>
      <c r="G11" s="74" t="s">
        <v>40</v>
      </c>
      <c r="H11" s="75"/>
      <c r="I11" s="75"/>
      <c r="J11" s="76" t="str">
        <f aca="false">IF(AND(H11&lt;&gt;"",I11&lt;&gt;"",E11&lt;&gt;""),IF(OR(AND(UPPER(E11)="1",H11&gt;I11),AND(UPPER(E11)="X",H11=I11),AND(UPPER(E11)="2",H11&lt;I11)),1,0),"")</f>
        <v/>
      </c>
      <c r="K11" s="76" t="str">
        <f aca="false">IF(AND(H11&lt;&gt;"",I11&lt;&gt;"",C11&lt;&gt;"",D11&lt;&gt;""),IF(AND(H11=C11,I11=D11),3,0),"")</f>
        <v/>
      </c>
      <c r="L11" s="77" t="s">
        <v>221</v>
      </c>
      <c r="M11" s="86" t="s">
        <v>36</v>
      </c>
    </row>
    <row r="12" customFormat="false" ht="21.75" hidden="false" customHeight="true" outlineLevel="0" collapsed="false">
      <c r="A12" s="79" t="n">
        <v>3</v>
      </c>
      <c r="B12" s="80" t="s">
        <v>41</v>
      </c>
      <c r="C12" s="72" t="n">
        <v>0</v>
      </c>
      <c r="D12" s="72" t="n">
        <v>2</v>
      </c>
      <c r="E12" s="72" t="s">
        <v>218</v>
      </c>
      <c r="F12" s="81" t="s">
        <v>5</v>
      </c>
      <c r="G12" s="82" t="s">
        <v>37</v>
      </c>
      <c r="H12" s="75"/>
      <c r="I12" s="75"/>
      <c r="J12" s="83" t="str">
        <f aca="false">IF(AND(H12&lt;&gt;"",I12&lt;&gt;"",E12&lt;&gt;""),IF(OR(AND(UPPER(E12)="1",H12&gt;I12),AND(UPPER(E12)="X",H12=I12),AND(UPPER(E12)="2",H12&lt;I12)),1,0),"")</f>
        <v/>
      </c>
      <c r="K12" s="83" t="str">
        <f aca="false">IF(AND(H12&lt;&gt;"",I12&lt;&gt;"",C12&lt;&gt;"",D12&lt;&gt;""),IF(AND(H12=C12,I12=D12),3,0),"")</f>
        <v/>
      </c>
      <c r="L12" s="84" t="s">
        <v>221</v>
      </c>
      <c r="M12" s="85" t="s">
        <v>36</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37</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38</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41</v>
      </c>
      <c r="C18" s="92"/>
      <c r="D18" s="92"/>
      <c r="E18" s="92"/>
      <c r="F18" s="92"/>
      <c r="G18" s="93"/>
      <c r="H18" s="93"/>
      <c r="I18" s="93"/>
      <c r="J18" s="94"/>
      <c r="K18" s="94"/>
      <c r="L18" s="94"/>
      <c r="M18" s="94"/>
    </row>
    <row r="20" customFormat="false" ht="21.75" hidden="false" customHeight="true" outlineLevel="0" collapsed="false">
      <c r="A20" s="95" t="s">
        <v>243</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244</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25</v>
      </c>
      <c r="C5" s="72" t="n">
        <v>0</v>
      </c>
      <c r="D5" s="72" t="n">
        <v>1</v>
      </c>
      <c r="E5" s="72" t="s">
        <v>218</v>
      </c>
      <c r="F5" s="73" t="s">
        <v>5</v>
      </c>
      <c r="G5" s="74" t="s">
        <v>26</v>
      </c>
      <c r="H5" s="75"/>
      <c r="I5" s="75"/>
      <c r="J5" s="76" t="str">
        <f aca="false">IF(AND(H5&lt;&gt;"",I5&lt;&gt;"",E5&lt;&gt;""),IF(OR(AND(UPPER(E5)="1",H5&gt;I5),AND(UPPER(E5)="X",H5=I5),AND(UPPER(E5)="2",H5&lt;I5)),1,0),"")</f>
        <v/>
      </c>
      <c r="K5" s="76" t="str">
        <f aca="false">IF(AND(H5&lt;&gt;"",I5&lt;&gt;"",C5&lt;&gt;"",D5&lt;&gt;""),IF(AND(H5=C5,I5=D5),3,0),"")</f>
        <v/>
      </c>
      <c r="L5" s="77" t="s">
        <v>237</v>
      </c>
      <c r="M5" s="86" t="s">
        <v>24</v>
      </c>
    </row>
    <row r="6" customFormat="false" ht="21.75" hidden="false" customHeight="true" outlineLevel="0" collapsed="false">
      <c r="A6" s="79" t="n">
        <v>1</v>
      </c>
      <c r="B6" s="80" t="s">
        <v>29</v>
      </c>
      <c r="C6" s="72" t="n">
        <v>0</v>
      </c>
      <c r="D6" s="72" t="n">
        <v>2</v>
      </c>
      <c r="E6" s="72" t="s">
        <v>218</v>
      </c>
      <c r="F6" s="81" t="s">
        <v>5</v>
      </c>
      <c r="G6" s="82" t="s">
        <v>30</v>
      </c>
      <c r="H6" s="75"/>
      <c r="I6" s="75"/>
      <c r="J6" s="83" t="str">
        <f aca="false">IF(AND(H6&lt;&gt;"",I6&lt;&gt;"",E6&lt;&gt;""),IF(OR(AND(UPPER(E6)="1",H6&gt;I6),AND(UPPER(E6)="X",H6=I6),AND(UPPER(E6)="2",H6&lt;I6)),1,0),"")</f>
        <v/>
      </c>
      <c r="K6" s="83" t="str">
        <f aca="false">IF(AND(H6&lt;&gt;"",I6&lt;&gt;"",C6&lt;&gt;"",D6&lt;&gt;""),IF(AND(H6=C6,I6=D6),3,0),"")</f>
        <v/>
      </c>
      <c r="L6" s="84" t="s">
        <v>237</v>
      </c>
      <c r="M6" s="85" t="s">
        <v>28</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25</v>
      </c>
      <c r="C8" s="72" t="n">
        <v>1</v>
      </c>
      <c r="D8" s="72" t="n">
        <v>1</v>
      </c>
      <c r="E8" s="72" t="s">
        <v>214</v>
      </c>
      <c r="F8" s="81" t="s">
        <v>5</v>
      </c>
      <c r="G8" s="82" t="s">
        <v>29</v>
      </c>
      <c r="H8" s="75"/>
      <c r="I8" s="75"/>
      <c r="J8" s="83" t="str">
        <f aca="false">IF(AND(H8&lt;&gt;"",I8&lt;&gt;"",E8&lt;&gt;""),IF(OR(AND(UPPER(E8)="1",H8&gt;I8),AND(UPPER(E8)="X",H8=I8),AND(UPPER(E8)="2",H8&lt;I8)),1,0),"")</f>
        <v/>
      </c>
      <c r="K8" s="83" t="str">
        <f aca="false">IF(AND(H8&lt;&gt;"",I8&lt;&gt;"",C8&lt;&gt;"",D8&lt;&gt;""),IF(AND(H8=C8,I8=D8),3,0),"")</f>
        <v/>
      </c>
      <c r="L8" s="84" t="s">
        <v>217</v>
      </c>
      <c r="M8" s="99" t="s">
        <v>10</v>
      </c>
    </row>
    <row r="9" customFormat="false" ht="21.75" hidden="false" customHeight="true" outlineLevel="0" collapsed="false">
      <c r="A9" s="70" t="n">
        <v>2</v>
      </c>
      <c r="B9" s="71" t="s">
        <v>30</v>
      </c>
      <c r="C9" s="72" t="n">
        <v>2</v>
      </c>
      <c r="D9" s="72" t="n">
        <v>0</v>
      </c>
      <c r="E9" s="72" t="s">
        <v>212</v>
      </c>
      <c r="F9" s="73" t="s">
        <v>5</v>
      </c>
      <c r="G9" s="74" t="s">
        <v>26</v>
      </c>
      <c r="H9" s="75"/>
      <c r="I9" s="75"/>
      <c r="J9" s="76" t="str">
        <f aca="false">IF(AND(H9&lt;&gt;"",I9&lt;&gt;"",E9&lt;&gt;""),IF(OR(AND(UPPER(E9)="1",H9&gt;I9),AND(UPPER(E9)="X",H9=I9),AND(UPPER(E9)="2",H9&lt;I9)),1,0),"")</f>
        <v/>
      </c>
      <c r="K9" s="76" t="str">
        <f aca="false">IF(AND(H9&lt;&gt;"",I9&lt;&gt;"",C9&lt;&gt;"",D9&lt;&gt;""),IF(AND(H9=C9,I9=D9),3,0),"")</f>
        <v/>
      </c>
      <c r="L9" s="77" t="s">
        <v>217</v>
      </c>
      <c r="M9" s="86" t="s">
        <v>28</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30</v>
      </c>
      <c r="C11" s="72" t="n">
        <v>2</v>
      </c>
      <c r="D11" s="72" t="n">
        <v>1</v>
      </c>
      <c r="E11" s="72" t="s">
        <v>212</v>
      </c>
      <c r="F11" s="73" t="s">
        <v>5</v>
      </c>
      <c r="G11" s="74" t="s">
        <v>25</v>
      </c>
      <c r="H11" s="75"/>
      <c r="I11" s="75"/>
      <c r="J11" s="76" t="str">
        <f aca="false">IF(AND(H11&lt;&gt;"",I11&lt;&gt;"",E11&lt;&gt;""),IF(OR(AND(UPPER(E11)="1",H11&gt;I11),AND(UPPER(E11)="X",H11=I11),AND(UPPER(E11)="2",H11&lt;I11)),1,0),"")</f>
        <v/>
      </c>
      <c r="K11" s="76" t="str">
        <f aca="false">IF(AND(H11&lt;&gt;"",I11&lt;&gt;"",C11&lt;&gt;"",D11&lt;&gt;""),IF(AND(H11=C11,I11=D11),3,0),"")</f>
        <v/>
      </c>
      <c r="L11" s="77" t="s">
        <v>245</v>
      </c>
      <c r="M11" s="86" t="s">
        <v>16</v>
      </c>
    </row>
    <row r="12" customFormat="false" ht="21.75" hidden="false" customHeight="true" outlineLevel="0" collapsed="false">
      <c r="A12" s="79" t="n">
        <v>3</v>
      </c>
      <c r="B12" s="80" t="s">
        <v>26</v>
      </c>
      <c r="C12" s="72" t="n">
        <v>2</v>
      </c>
      <c r="D12" s="72" t="n">
        <v>0</v>
      </c>
      <c r="E12" s="72" t="s">
        <v>212</v>
      </c>
      <c r="F12" s="81" t="s">
        <v>5</v>
      </c>
      <c r="G12" s="82" t="s">
        <v>29</v>
      </c>
      <c r="H12" s="75"/>
      <c r="I12" s="75"/>
      <c r="J12" s="83" t="str">
        <f aca="false">IF(AND(H12&lt;&gt;"",I12&lt;&gt;"",E12&lt;&gt;""),IF(OR(AND(UPPER(E12)="1",H12&gt;I12),AND(UPPER(E12)="X",H12=I12),AND(UPPER(E12)="2",H12&lt;I12)),1,0),"")</f>
        <v/>
      </c>
      <c r="K12" s="83" t="str">
        <f aca="false">IF(AND(H12&lt;&gt;"",I12&lt;&gt;"",C12&lt;&gt;"",D12&lt;&gt;""),IF(AND(H12=C12,I12=D12),3,0),"")</f>
        <v/>
      </c>
      <c r="L12" s="84" t="s">
        <v>245</v>
      </c>
      <c r="M12" s="85" t="s">
        <v>16</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30</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26</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25</v>
      </c>
      <c r="C18" s="92"/>
      <c r="D18" s="92"/>
      <c r="E18" s="92"/>
      <c r="F18" s="92"/>
      <c r="G18" s="93"/>
      <c r="H18" s="93"/>
      <c r="I18" s="93"/>
      <c r="J18" s="94"/>
      <c r="K18" s="94"/>
      <c r="L18" s="94"/>
      <c r="M18" s="94"/>
    </row>
    <row r="20" customFormat="false" ht="21.75" hidden="false" customHeight="true" outlineLevel="0" collapsed="false">
      <c r="A20" s="95" t="s">
        <v>246</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247</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44</v>
      </c>
      <c r="C5" s="72" t="n">
        <v>4</v>
      </c>
      <c r="D5" s="72" t="n">
        <v>0</v>
      </c>
      <c r="E5" s="72" t="s">
        <v>212</v>
      </c>
      <c r="F5" s="73" t="s">
        <v>5</v>
      </c>
      <c r="G5" s="74" t="s">
        <v>45</v>
      </c>
      <c r="H5" s="75"/>
      <c r="I5" s="75"/>
      <c r="J5" s="76" t="str">
        <f aca="false">IF(AND(H5&lt;&gt;"",I5&lt;&gt;"",E5&lt;&gt;""),IF(OR(AND(UPPER(E5)="1",H5&gt;I5),AND(UPPER(E5)="X",H5=I5),AND(UPPER(E5)="2",H5&lt;I5)),1,0),"")</f>
        <v/>
      </c>
      <c r="K5" s="76" t="str">
        <f aca="false">IF(AND(H5&lt;&gt;"",I5&lt;&gt;"",C5&lt;&gt;"",D5&lt;&gt;""),IF(AND(H5=C5,I5=D5),3,0),"")</f>
        <v/>
      </c>
      <c r="L5" s="77" t="s">
        <v>241</v>
      </c>
      <c r="M5" s="78" t="s">
        <v>43</v>
      </c>
    </row>
    <row r="6" customFormat="false" ht="21.75" hidden="false" customHeight="true" outlineLevel="0" collapsed="false">
      <c r="A6" s="79" t="n">
        <v>1</v>
      </c>
      <c r="B6" s="80" t="s">
        <v>53</v>
      </c>
      <c r="C6" s="72" t="n">
        <v>1</v>
      </c>
      <c r="D6" s="72" t="n">
        <v>1</v>
      </c>
      <c r="E6" s="72" t="s">
        <v>214</v>
      </c>
      <c r="F6" s="81" t="s">
        <v>5</v>
      </c>
      <c r="G6" s="82" t="s">
        <v>54</v>
      </c>
      <c r="H6" s="75"/>
      <c r="I6" s="75"/>
      <c r="J6" s="83" t="str">
        <f aca="false">IF(AND(H6&lt;&gt;"",I6&lt;&gt;"",E6&lt;&gt;""),IF(OR(AND(UPPER(E6)="1",H6&gt;I6),AND(UPPER(E6)="X",H6=I6),AND(UPPER(E6)="2",H6&lt;I6)),1,0),"")</f>
        <v/>
      </c>
      <c r="K6" s="83" t="str">
        <f aca="false">IF(AND(H6&lt;&gt;"",I6&lt;&gt;"",C6&lt;&gt;"",D6&lt;&gt;""),IF(AND(H6=C6,I6=D6),3,0),"")</f>
        <v/>
      </c>
      <c r="L6" s="84" t="s">
        <v>248</v>
      </c>
      <c r="M6" s="85" t="s">
        <v>52</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44</v>
      </c>
      <c r="C8" s="72" t="n">
        <v>2</v>
      </c>
      <c r="D8" s="72" t="n">
        <v>1</v>
      </c>
      <c r="E8" s="72" t="s">
        <v>212</v>
      </c>
      <c r="F8" s="81" t="s">
        <v>5</v>
      </c>
      <c r="G8" s="82" t="s">
        <v>53</v>
      </c>
      <c r="H8" s="75"/>
      <c r="I8" s="75"/>
      <c r="J8" s="83" t="str">
        <f aca="false">IF(AND(H8&lt;&gt;"",I8&lt;&gt;"",E8&lt;&gt;""),IF(OR(AND(UPPER(E8)="1",H8&gt;I8),AND(UPPER(E8)="X",H8=I8),AND(UPPER(E8)="2",H8&lt;I8)),1,0),"")</f>
        <v/>
      </c>
      <c r="K8" s="83" t="str">
        <f aca="false">IF(AND(H8&lt;&gt;"",I8&lt;&gt;"",C8&lt;&gt;"",D8&lt;&gt;""),IF(AND(H8=C8,I8=D8),3,0),"")</f>
        <v/>
      </c>
      <c r="L8" s="84" t="s">
        <v>242</v>
      </c>
      <c r="M8" s="99" t="s">
        <v>47</v>
      </c>
    </row>
    <row r="9" customFormat="false" ht="21.75" hidden="false" customHeight="true" outlineLevel="0" collapsed="false">
      <c r="A9" s="70" t="n">
        <v>2</v>
      </c>
      <c r="B9" s="71" t="s">
        <v>54</v>
      </c>
      <c r="C9" s="72" t="n">
        <v>2</v>
      </c>
      <c r="D9" s="72" t="n">
        <v>0</v>
      </c>
      <c r="E9" s="72" t="s">
        <v>212</v>
      </c>
      <c r="F9" s="73" t="s">
        <v>5</v>
      </c>
      <c r="G9" s="74" t="s">
        <v>45</v>
      </c>
      <c r="H9" s="75"/>
      <c r="I9" s="75"/>
      <c r="J9" s="76" t="str">
        <f aca="false">IF(AND(H9&lt;&gt;"",I9&lt;&gt;"",E9&lt;&gt;""),IF(OR(AND(UPPER(E9)="1",H9&gt;I9),AND(UPPER(E9)="X",H9=I9),AND(UPPER(E9)="2",H9&lt;I9)),1,0),"")</f>
        <v/>
      </c>
      <c r="K9" s="76" t="str">
        <f aca="false">IF(AND(H9&lt;&gt;"",I9&lt;&gt;"",C9&lt;&gt;"",D9&lt;&gt;""),IF(AND(H9=C9,I9=D9),3,0),"")</f>
        <v/>
      </c>
      <c r="L9" s="77" t="s">
        <v>249</v>
      </c>
      <c r="M9" s="86" t="s">
        <v>95</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54</v>
      </c>
      <c r="C11" s="72" t="n">
        <v>0</v>
      </c>
      <c r="D11" s="72" t="n">
        <v>2</v>
      </c>
      <c r="E11" s="72" t="s">
        <v>218</v>
      </c>
      <c r="F11" s="73" t="s">
        <v>5</v>
      </c>
      <c r="G11" s="74" t="s">
        <v>44</v>
      </c>
      <c r="H11" s="75"/>
      <c r="I11" s="75"/>
      <c r="J11" s="76" t="str">
        <f aca="false">IF(AND(H11&lt;&gt;"",I11&lt;&gt;"",E11&lt;&gt;""),IF(OR(AND(UPPER(E11)="1",H11&gt;I11),AND(UPPER(E11)="X",H11=I11),AND(UPPER(E11)="2",H11&lt;I11)),1,0),"")</f>
        <v/>
      </c>
      <c r="K11" s="76" t="str">
        <f aca="false">IF(AND(H11&lt;&gt;"",I11&lt;&gt;"",C11&lt;&gt;"",D11&lt;&gt;""),IF(AND(H11=C11,I11=D11),3,0),"")</f>
        <v/>
      </c>
      <c r="L11" s="77" t="s">
        <v>221</v>
      </c>
      <c r="M11" s="78" t="s">
        <v>47</v>
      </c>
    </row>
    <row r="12" customFormat="false" ht="21.75" hidden="false" customHeight="true" outlineLevel="0" collapsed="false">
      <c r="A12" s="79" t="n">
        <v>3</v>
      </c>
      <c r="B12" s="80" t="s">
        <v>45</v>
      </c>
      <c r="C12" s="72" t="n">
        <v>0</v>
      </c>
      <c r="D12" s="72" t="n">
        <v>2</v>
      </c>
      <c r="E12" s="72" t="s">
        <v>218</v>
      </c>
      <c r="F12" s="81" t="s">
        <v>5</v>
      </c>
      <c r="G12" s="82" t="s">
        <v>53</v>
      </c>
      <c r="H12" s="75"/>
      <c r="I12" s="75"/>
      <c r="J12" s="83" t="str">
        <f aca="false">IF(AND(H12&lt;&gt;"",I12&lt;&gt;"",E12&lt;&gt;""),IF(OR(AND(UPPER(E12)="1",H12&gt;I12),AND(UPPER(E12)="X",H12=I12),AND(UPPER(E12)="2",H12&lt;I12)),1,0),"")</f>
        <v/>
      </c>
      <c r="K12" s="83" t="str">
        <f aca="false">IF(AND(H12&lt;&gt;"",I12&lt;&gt;"",C12&lt;&gt;"",D12&lt;&gt;""),IF(AND(H12=C12,I12=D12),3,0),"")</f>
        <v/>
      </c>
      <c r="L12" s="84" t="s">
        <v>221</v>
      </c>
      <c r="M12" s="99" t="s">
        <v>47</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44</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54</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53</v>
      </c>
      <c r="C18" s="92"/>
      <c r="D18" s="92"/>
      <c r="E18" s="92"/>
      <c r="F18" s="92"/>
      <c r="G18" s="93"/>
      <c r="H18" s="93"/>
      <c r="I18" s="93"/>
      <c r="J18" s="94"/>
      <c r="K18" s="94"/>
      <c r="L18" s="94"/>
      <c r="M18" s="94"/>
    </row>
    <row r="20" customFormat="false" ht="21.75" hidden="false" customHeight="true" outlineLevel="0" collapsed="false">
      <c r="A20" s="95" t="s">
        <v>250</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251</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48</v>
      </c>
      <c r="C5" s="72" t="n">
        <v>2</v>
      </c>
      <c r="D5" s="72" t="n">
        <v>1</v>
      </c>
      <c r="E5" s="72" t="s">
        <v>212</v>
      </c>
      <c r="F5" s="73" t="s">
        <v>5</v>
      </c>
      <c r="G5" s="74" t="s">
        <v>49</v>
      </c>
      <c r="H5" s="75"/>
      <c r="I5" s="75"/>
      <c r="J5" s="76" t="str">
        <f aca="false">IF(AND(H5&lt;&gt;"",I5&lt;&gt;"",E5&lt;&gt;""),IF(OR(AND(UPPER(E5)="1",H5&gt;I5),AND(UPPER(E5)="X",H5=I5),AND(UPPER(E5)="2",H5&lt;I5)),1,0),"")</f>
        <v/>
      </c>
      <c r="K5" s="76" t="str">
        <f aca="false">IF(AND(H5&lt;&gt;"",I5&lt;&gt;"",C5&lt;&gt;"",D5&lt;&gt;""),IF(AND(H5=C5,I5=D5),3,0),"")</f>
        <v/>
      </c>
      <c r="L5" s="77" t="s">
        <v>241</v>
      </c>
      <c r="M5" s="78" t="s">
        <v>47</v>
      </c>
    </row>
    <row r="6" customFormat="false" ht="21.75" hidden="false" customHeight="true" outlineLevel="0" collapsed="false">
      <c r="A6" s="79" t="n">
        <v>1</v>
      </c>
      <c r="B6" s="80" t="s">
        <v>56</v>
      </c>
      <c r="C6" s="72" t="n">
        <v>1</v>
      </c>
      <c r="D6" s="72" t="n">
        <v>1</v>
      </c>
      <c r="E6" s="72" t="s">
        <v>214</v>
      </c>
      <c r="F6" s="81" t="s">
        <v>5</v>
      </c>
      <c r="G6" s="82" t="s">
        <v>57</v>
      </c>
      <c r="H6" s="75"/>
      <c r="I6" s="75"/>
      <c r="J6" s="83" t="str">
        <f aca="false">IF(AND(H6&lt;&gt;"",I6&lt;&gt;"",E6&lt;&gt;""),IF(OR(AND(UPPER(E6)="1",H6&gt;I6),AND(UPPER(E6)="X",H6=I6),AND(UPPER(E6)="2",H6&lt;I6)),1,0),"")</f>
        <v/>
      </c>
      <c r="K6" s="83" t="str">
        <f aca="false">IF(AND(H6&lt;&gt;"",I6&lt;&gt;"",C6&lt;&gt;"",D6&lt;&gt;""),IF(AND(H6=C6,I6=D6),3,0),"")</f>
        <v/>
      </c>
      <c r="L6" s="84" t="s">
        <v>248</v>
      </c>
      <c r="M6" s="85" t="s">
        <v>16</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48</v>
      </c>
      <c r="C8" s="72" t="n">
        <v>2</v>
      </c>
      <c r="D8" s="72" t="n">
        <v>0</v>
      </c>
      <c r="E8" s="72" t="s">
        <v>212</v>
      </c>
      <c r="F8" s="81" t="s">
        <v>5</v>
      </c>
      <c r="G8" s="82" t="s">
        <v>57</v>
      </c>
      <c r="H8" s="75"/>
      <c r="I8" s="75"/>
      <c r="J8" s="83" t="str">
        <f aca="false">IF(AND(H8&lt;&gt;"",I8&lt;&gt;"",E8&lt;&gt;""),IF(OR(AND(UPPER(E8)="1",H8&gt;I8),AND(UPPER(E8)="X",H8=I8),AND(UPPER(E8)="2",H8&lt;I8)),1,0),"")</f>
        <v/>
      </c>
      <c r="K8" s="83" t="str">
        <f aca="false">IF(AND(H8&lt;&gt;"",I8&lt;&gt;"",C8&lt;&gt;"",D8&lt;&gt;""),IF(AND(H8=C8,I8=D8),3,0),"")</f>
        <v/>
      </c>
      <c r="L8" s="84" t="s">
        <v>242</v>
      </c>
      <c r="M8" s="99" t="s">
        <v>43</v>
      </c>
    </row>
    <row r="9" customFormat="false" ht="21.75" hidden="false" customHeight="true" outlineLevel="0" collapsed="false">
      <c r="A9" s="70" t="n">
        <v>2</v>
      </c>
      <c r="B9" s="71" t="s">
        <v>49</v>
      </c>
      <c r="C9" s="72" t="n">
        <v>2</v>
      </c>
      <c r="D9" s="72" t="n">
        <v>0</v>
      </c>
      <c r="E9" s="72" t="s">
        <v>212</v>
      </c>
      <c r="F9" s="73" t="s">
        <v>5</v>
      </c>
      <c r="G9" s="74" t="s">
        <v>56</v>
      </c>
      <c r="H9" s="75"/>
      <c r="I9" s="75"/>
      <c r="J9" s="76" t="str">
        <f aca="false">IF(AND(H9&lt;&gt;"",I9&lt;&gt;"",E9&lt;&gt;""),IF(OR(AND(UPPER(E9)="1",H9&gt;I9),AND(UPPER(E9)="X",H9=I9),AND(UPPER(E9)="2",H9&lt;I9)),1,0),"")</f>
        <v/>
      </c>
      <c r="K9" s="76" t="str">
        <f aca="false">IF(AND(H9&lt;&gt;"",I9&lt;&gt;"",C9&lt;&gt;"",D9&lt;&gt;""),IF(AND(H9=C9,I9=D9),3,0),"")</f>
        <v/>
      </c>
      <c r="L9" s="77" t="s">
        <v>249</v>
      </c>
      <c r="M9" s="86" t="s">
        <v>28</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56</v>
      </c>
      <c r="C11" s="72" t="n">
        <v>0</v>
      </c>
      <c r="D11" s="72" t="n">
        <v>2</v>
      </c>
      <c r="E11" s="72" t="s">
        <v>218</v>
      </c>
      <c r="F11" s="73" t="s">
        <v>5</v>
      </c>
      <c r="G11" s="74" t="s">
        <v>48</v>
      </c>
      <c r="H11" s="75"/>
      <c r="I11" s="75"/>
      <c r="J11" s="76" t="str">
        <f aca="false">IF(AND(H11&lt;&gt;"",I11&lt;&gt;"",E11&lt;&gt;""),IF(OR(AND(UPPER(E11)="1",H11&gt;I11),AND(UPPER(E11)="X",H11=I11),AND(UPPER(E11)="2",H11&lt;I11)),1,0),"")</f>
        <v/>
      </c>
      <c r="K11" s="76" t="str">
        <f aca="false">IF(AND(H11&lt;&gt;"",I11&lt;&gt;"",C11&lt;&gt;"",D11&lt;&gt;""),IF(AND(H11=C11,I11=D11),3,0),"")</f>
        <v/>
      </c>
      <c r="L11" s="77" t="s">
        <v>245</v>
      </c>
      <c r="M11" s="86" t="s">
        <v>52</v>
      </c>
    </row>
    <row r="12" customFormat="false" ht="21.75" hidden="false" customHeight="true" outlineLevel="0" collapsed="false">
      <c r="A12" s="79" t="n">
        <v>3</v>
      </c>
      <c r="B12" s="80" t="s">
        <v>57</v>
      </c>
      <c r="C12" s="72" t="n">
        <v>1</v>
      </c>
      <c r="D12" s="72" t="n">
        <v>1</v>
      </c>
      <c r="E12" s="72" t="s">
        <v>214</v>
      </c>
      <c r="F12" s="81" t="s">
        <v>5</v>
      </c>
      <c r="G12" s="82" t="s">
        <v>49</v>
      </c>
      <c r="H12" s="75"/>
      <c r="I12" s="75"/>
      <c r="J12" s="83" t="str">
        <f aca="false">IF(AND(H12&lt;&gt;"",I12&lt;&gt;"",E12&lt;&gt;""),IF(OR(AND(UPPER(E12)="1",H12&gt;I12),AND(UPPER(E12)="X",H12=I12),AND(UPPER(E12)="2",H12&lt;I12)),1,0),"")</f>
        <v/>
      </c>
      <c r="K12" s="83" t="str">
        <f aca="false">IF(AND(H12&lt;&gt;"",I12&lt;&gt;"",C12&lt;&gt;"",D12&lt;&gt;""),IF(AND(H12=C12,I12=D12),3,0),"")</f>
        <v/>
      </c>
      <c r="L12" s="84" t="s">
        <v>245</v>
      </c>
      <c r="M12" s="85" t="s">
        <v>52</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48</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49</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57</v>
      </c>
      <c r="C18" s="92"/>
      <c r="D18" s="92"/>
      <c r="E18" s="92"/>
      <c r="F18" s="92"/>
      <c r="G18" s="93"/>
      <c r="H18" s="93"/>
      <c r="I18" s="93"/>
      <c r="J18" s="94"/>
      <c r="K18" s="94"/>
      <c r="L18" s="94"/>
      <c r="M18" s="94"/>
    </row>
    <row r="20" customFormat="false" ht="21.75" hidden="false" customHeight="true" outlineLevel="0" collapsed="false">
      <c r="A20" s="95" t="s">
        <v>252</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253</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63</v>
      </c>
      <c r="C5" s="72" t="n">
        <v>2</v>
      </c>
      <c r="D5" s="72" t="n">
        <v>0</v>
      </c>
      <c r="E5" s="72" t="s">
        <v>212</v>
      </c>
      <c r="F5" s="73" t="s">
        <v>5</v>
      </c>
      <c r="G5" s="74" t="s">
        <v>64</v>
      </c>
      <c r="H5" s="75"/>
      <c r="I5" s="75"/>
      <c r="J5" s="76" t="str">
        <f aca="false">IF(AND(H5&lt;&gt;"",I5&lt;&gt;"",E5&lt;&gt;""),IF(OR(AND(UPPER(E5)="1",H5&gt;I5),AND(UPPER(E5)="X",H5=I5),AND(UPPER(E5)="2",H5&lt;I5)),1,0),"")</f>
        <v/>
      </c>
      <c r="K5" s="76" t="str">
        <f aca="false">IF(AND(H5&lt;&gt;"",I5&lt;&gt;"",C5&lt;&gt;"",D5&lt;&gt;""),IF(AND(H5=C5,I5=D5),3,0),"")</f>
        <v/>
      </c>
      <c r="L5" s="77" t="s">
        <v>248</v>
      </c>
      <c r="M5" s="78" t="s">
        <v>10</v>
      </c>
    </row>
    <row r="6" customFormat="false" ht="21.75" hidden="false" customHeight="true" outlineLevel="0" collapsed="false">
      <c r="A6" s="79" t="n">
        <v>1</v>
      </c>
      <c r="B6" s="80" t="s">
        <v>69</v>
      </c>
      <c r="C6" s="72" t="n">
        <v>1</v>
      </c>
      <c r="D6" s="72" t="n">
        <v>0</v>
      </c>
      <c r="E6" s="72" t="s">
        <v>212</v>
      </c>
      <c r="F6" s="81" t="s">
        <v>5</v>
      </c>
      <c r="G6" s="82" t="s">
        <v>70</v>
      </c>
      <c r="H6" s="75"/>
      <c r="I6" s="75"/>
      <c r="J6" s="83" t="str">
        <f aca="false">IF(AND(H6&lt;&gt;"",I6&lt;&gt;"",E6&lt;&gt;""),IF(OR(AND(UPPER(E6)="1",H6&gt;I6),AND(UPPER(E6)="X",H6=I6),AND(UPPER(E6)="2",H6&lt;I6)),1,0),"")</f>
        <v/>
      </c>
      <c r="K6" s="83" t="str">
        <f aca="false">IF(AND(H6&lt;&gt;"",I6&lt;&gt;"",C6&lt;&gt;"",D6&lt;&gt;""),IF(AND(H6=C6,I6=D6),3,0),"")</f>
        <v/>
      </c>
      <c r="L6" s="84" t="s">
        <v>254</v>
      </c>
      <c r="M6" s="85" t="s">
        <v>24</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63</v>
      </c>
      <c r="C8" s="72" t="n">
        <v>2</v>
      </c>
      <c r="D8" s="72" t="n">
        <v>0</v>
      </c>
      <c r="E8" s="72" t="s">
        <v>212</v>
      </c>
      <c r="F8" s="81" t="s">
        <v>5</v>
      </c>
      <c r="G8" s="82" t="s">
        <v>69</v>
      </c>
      <c r="H8" s="75"/>
      <c r="I8" s="75"/>
      <c r="J8" s="83" t="str">
        <f aca="false">IF(AND(H8&lt;&gt;"",I8&lt;&gt;"",E8&lt;&gt;""),IF(OR(AND(UPPER(E8)="1",H8&gt;I8),AND(UPPER(E8)="X",H8=I8),AND(UPPER(E8)="2",H8&lt;I8)),1,0),"")</f>
        <v/>
      </c>
      <c r="K8" s="83" t="str">
        <f aca="false">IF(AND(H8&lt;&gt;"",I8&lt;&gt;"",C8&lt;&gt;"",D8&lt;&gt;""),IF(AND(H8=C8,I8=D8),3,0),"")</f>
        <v/>
      </c>
      <c r="L8" s="84" t="s">
        <v>249</v>
      </c>
      <c r="M8" s="99" t="s">
        <v>10</v>
      </c>
    </row>
    <row r="9" customFormat="false" ht="21.75" hidden="false" customHeight="true" outlineLevel="0" collapsed="false">
      <c r="A9" s="70" t="n">
        <v>2</v>
      </c>
      <c r="B9" s="71" t="s">
        <v>70</v>
      </c>
      <c r="C9" s="72" t="n">
        <v>0</v>
      </c>
      <c r="D9" s="72" t="n">
        <v>1</v>
      </c>
      <c r="E9" s="72" t="s">
        <v>218</v>
      </c>
      <c r="F9" s="73" t="s">
        <v>5</v>
      </c>
      <c r="G9" s="74" t="s">
        <v>64</v>
      </c>
      <c r="H9" s="75"/>
      <c r="I9" s="75"/>
      <c r="J9" s="76" t="str">
        <f aca="false">IF(AND(H9&lt;&gt;"",I9&lt;&gt;"",E9&lt;&gt;""),IF(OR(AND(UPPER(E9)="1",H9&gt;I9),AND(UPPER(E9)="X",H9=I9),AND(UPPER(E9)="2",H9&lt;I9)),1,0),"")</f>
        <v/>
      </c>
      <c r="K9" s="76" t="str">
        <f aca="false">IF(AND(H9&lt;&gt;"",I9&lt;&gt;"",C9&lt;&gt;"",D9&lt;&gt;""),IF(AND(H9=C9,I9=D9),3,0),"")</f>
        <v/>
      </c>
      <c r="L9" s="77" t="s">
        <v>255</v>
      </c>
      <c r="M9" s="86" t="s">
        <v>24</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63</v>
      </c>
      <c r="C11" s="72" t="n">
        <v>3</v>
      </c>
      <c r="D11" s="72" t="n">
        <v>0</v>
      </c>
      <c r="E11" s="72" t="s">
        <v>212</v>
      </c>
      <c r="F11" s="73" t="s">
        <v>5</v>
      </c>
      <c r="G11" s="74" t="s">
        <v>70</v>
      </c>
      <c r="H11" s="75"/>
      <c r="I11" s="75"/>
      <c r="J11" s="76" t="str">
        <f aca="false">IF(AND(H11&lt;&gt;"",I11&lt;&gt;"",E11&lt;&gt;""),IF(OR(AND(UPPER(E11)="1",H11&gt;I11),AND(UPPER(E11)="X",H11=I11),AND(UPPER(E11)="2",H11&lt;I11)),1,0),"")</f>
        <v/>
      </c>
      <c r="K11" s="76" t="str">
        <f aca="false">IF(AND(H11&lt;&gt;"",I11&lt;&gt;"",C11&lt;&gt;"",D11&lt;&gt;""),IF(AND(H11=C11,I11=D11),3,0),"")</f>
        <v/>
      </c>
      <c r="L11" s="77" t="s">
        <v>256</v>
      </c>
      <c r="M11" s="86" t="s">
        <v>101</v>
      </c>
    </row>
    <row r="12" customFormat="false" ht="21.75" hidden="false" customHeight="true" outlineLevel="0" collapsed="false">
      <c r="A12" s="79" t="n">
        <v>3</v>
      </c>
      <c r="B12" s="80" t="s">
        <v>64</v>
      </c>
      <c r="C12" s="72" t="n">
        <v>1</v>
      </c>
      <c r="D12" s="72" t="n">
        <v>0</v>
      </c>
      <c r="E12" s="72" t="s">
        <v>212</v>
      </c>
      <c r="F12" s="81" t="s">
        <v>5</v>
      </c>
      <c r="G12" s="82" t="s">
        <v>69</v>
      </c>
      <c r="H12" s="75"/>
      <c r="I12" s="75"/>
      <c r="J12" s="83" t="str">
        <f aca="false">IF(AND(H12&lt;&gt;"",I12&lt;&gt;"",E12&lt;&gt;""),IF(OR(AND(UPPER(E12)="1",H12&gt;I12),AND(UPPER(E12)="X",H12=I12),AND(UPPER(E12)="2",H12&lt;I12)),1,0),"")</f>
        <v/>
      </c>
      <c r="K12" s="83" t="str">
        <f aca="false">IF(AND(H12&lt;&gt;"",I12&lt;&gt;"",C12&lt;&gt;"",D12&lt;&gt;""),IF(AND(H12=C12,I12=D12),3,0),"")</f>
        <v/>
      </c>
      <c r="L12" s="84" t="s">
        <v>256</v>
      </c>
      <c r="M12" s="85" t="s">
        <v>101</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63</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64</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69</v>
      </c>
      <c r="C18" s="92"/>
      <c r="D18" s="92"/>
      <c r="E18" s="92"/>
      <c r="F18" s="92"/>
      <c r="G18" s="93"/>
      <c r="H18" s="93"/>
      <c r="I18" s="93"/>
      <c r="J18" s="94"/>
      <c r="K18" s="94"/>
      <c r="L18" s="94"/>
      <c r="M18" s="94"/>
    </row>
    <row r="20" customFormat="false" ht="21.75" hidden="false" customHeight="true" outlineLevel="0" collapsed="false">
      <c r="A20" s="95" t="s">
        <v>257</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100" t="s">
        <v>258</v>
      </c>
      <c r="B1" s="100"/>
      <c r="C1" s="100"/>
      <c r="D1" s="100"/>
      <c r="E1" s="100"/>
      <c r="F1" s="100"/>
      <c r="G1" s="100"/>
      <c r="H1" s="100"/>
      <c r="I1" s="100"/>
      <c r="J1" s="100"/>
      <c r="K1" s="100"/>
      <c r="L1" s="100"/>
      <c r="M1" s="100"/>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101" t="n">
        <v>1</v>
      </c>
      <c r="B5" s="102" t="s">
        <v>259</v>
      </c>
      <c r="C5" s="72" t="n">
        <v>3</v>
      </c>
      <c r="D5" s="72" t="n">
        <v>0</v>
      </c>
      <c r="E5" s="72" t="s">
        <v>212</v>
      </c>
      <c r="F5" s="103" t="s">
        <v>5</v>
      </c>
      <c r="G5" s="104" t="s">
        <v>98</v>
      </c>
      <c r="H5" s="75"/>
      <c r="I5" s="75"/>
      <c r="J5" s="105" t="str">
        <f aca="false">IF(AND(H5&lt;&gt;"",I5&lt;&gt;"",E5&lt;&gt;""),IF(OR(AND(UPPER(E5)="1",H5&gt;I5),AND(UPPER(E5)="X",H5=I5),AND(UPPER(E5)="2",H5&lt;I5)),1,0),"")</f>
        <v/>
      </c>
      <c r="K5" s="105" t="str">
        <f aca="false">IF(AND(H5&lt;&gt;"",I5&lt;&gt;"",C5&lt;&gt;"",D5&lt;&gt;""),IF(AND(H5=C5,I5=D5),3,0),"")</f>
        <v/>
      </c>
      <c r="L5" s="106" t="s">
        <v>248</v>
      </c>
      <c r="M5" s="107" t="s">
        <v>59</v>
      </c>
    </row>
    <row r="6" customFormat="false" ht="21.75" hidden="false" customHeight="true" outlineLevel="0" collapsed="false">
      <c r="A6" s="79" t="n">
        <v>1</v>
      </c>
      <c r="B6" s="80" t="s">
        <v>67</v>
      </c>
      <c r="C6" s="72" t="n">
        <v>0</v>
      </c>
      <c r="D6" s="72" t="n">
        <v>1</v>
      </c>
      <c r="E6" s="72" t="s">
        <v>218</v>
      </c>
      <c r="F6" s="81" t="s">
        <v>5</v>
      </c>
      <c r="G6" s="82" t="s">
        <v>68</v>
      </c>
      <c r="H6" s="75"/>
      <c r="I6" s="75"/>
      <c r="J6" s="83" t="str">
        <f aca="false">IF(AND(H6&lt;&gt;"",I6&lt;&gt;"",E6&lt;&gt;""),IF(OR(AND(UPPER(E6)="1",H6&gt;I6),AND(UPPER(E6)="X",H6=I6),AND(UPPER(E6)="2",H6&lt;I6)),1,0),"")</f>
        <v/>
      </c>
      <c r="K6" s="83" t="str">
        <f aca="false">IF(AND(H6&lt;&gt;"",I6&lt;&gt;"",C6&lt;&gt;"",D6&lt;&gt;""),IF(AND(H6=C6,I6=D6),3,0),"")</f>
        <v/>
      </c>
      <c r="L6" s="84" t="s">
        <v>254</v>
      </c>
      <c r="M6" s="85" t="s">
        <v>36</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101" t="n">
        <v>2</v>
      </c>
      <c r="B8" s="102" t="s">
        <v>259</v>
      </c>
      <c r="C8" s="72" t="n">
        <v>2</v>
      </c>
      <c r="D8" s="72" t="n">
        <v>0</v>
      </c>
      <c r="E8" s="72" t="s">
        <v>212</v>
      </c>
      <c r="F8" s="103" t="s">
        <v>5</v>
      </c>
      <c r="G8" s="104" t="s">
        <v>67</v>
      </c>
      <c r="H8" s="75"/>
      <c r="I8" s="75"/>
      <c r="J8" s="105" t="str">
        <f aca="false">IF(AND(H8&lt;&gt;"",I8&lt;&gt;"",E8&lt;&gt;""),IF(OR(AND(UPPER(E8)="1",H8&gt;I8),AND(UPPER(E8)="X",H8=I8),AND(UPPER(E8)="2",H8&lt;I8)),1,0),"")</f>
        <v/>
      </c>
      <c r="K8" s="105" t="str">
        <f aca="false">IF(AND(H8&lt;&gt;"",I8&lt;&gt;"",C8&lt;&gt;"",D8&lt;&gt;""),IF(AND(H8=C8,I8=D8),3,0),"")</f>
        <v/>
      </c>
      <c r="L8" s="106" t="s">
        <v>249</v>
      </c>
      <c r="M8" s="107" t="s">
        <v>59</v>
      </c>
    </row>
    <row r="9" customFormat="false" ht="21.75" hidden="false" customHeight="true" outlineLevel="0" collapsed="false">
      <c r="A9" s="70" t="n">
        <v>2</v>
      </c>
      <c r="B9" s="71" t="s">
        <v>68</v>
      </c>
      <c r="C9" s="72" t="n">
        <v>2</v>
      </c>
      <c r="D9" s="72" t="n">
        <v>0</v>
      </c>
      <c r="E9" s="72" t="s">
        <v>212</v>
      </c>
      <c r="F9" s="73" t="s">
        <v>5</v>
      </c>
      <c r="G9" s="74" t="s">
        <v>98</v>
      </c>
      <c r="H9" s="75"/>
      <c r="I9" s="75"/>
      <c r="J9" s="76" t="str">
        <f aca="false">IF(AND(H9&lt;&gt;"",I9&lt;&gt;"",E9&lt;&gt;""),IF(OR(AND(UPPER(E9)="1",H9&gt;I9),AND(UPPER(E9)="X",H9=I9),AND(UPPER(E9)="2",H9&lt;I9)),1,0),"")</f>
        <v/>
      </c>
      <c r="K9" s="76" t="str">
        <f aca="false">IF(AND(H9&lt;&gt;"",I9&lt;&gt;"",C9&lt;&gt;"",D9&lt;&gt;""),IF(AND(H9=C9,I9=D9),3,0),"")</f>
        <v/>
      </c>
      <c r="L9" s="77" t="s">
        <v>255</v>
      </c>
      <c r="M9" s="86" t="s">
        <v>36</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101" t="n">
        <v>3</v>
      </c>
      <c r="B11" s="102" t="s">
        <v>68</v>
      </c>
      <c r="C11" s="72" t="n">
        <v>0</v>
      </c>
      <c r="D11" s="72" t="n">
        <v>1</v>
      </c>
      <c r="E11" s="72" t="s">
        <v>218</v>
      </c>
      <c r="F11" s="103" t="s">
        <v>5</v>
      </c>
      <c r="G11" s="104" t="s">
        <v>259</v>
      </c>
      <c r="H11" s="75"/>
      <c r="I11" s="75"/>
      <c r="J11" s="105" t="str">
        <f aca="false">IF(AND(H11&lt;&gt;"",I11&lt;&gt;"",E11&lt;&gt;""),IF(OR(AND(UPPER(E11)="1",H11&gt;I11),AND(UPPER(E11)="X",H11=I11),AND(UPPER(E11)="2",H11&lt;I11)),1,0),"")</f>
        <v/>
      </c>
      <c r="K11" s="105" t="str">
        <f aca="false">IF(AND(H11&lt;&gt;"",I11&lt;&gt;"",C11&lt;&gt;"",D11&lt;&gt;""),IF(AND(H11=C11,I11=D11),3,0),"")</f>
        <v/>
      </c>
      <c r="L11" s="106" t="s">
        <v>256</v>
      </c>
      <c r="M11" s="108" t="s">
        <v>95</v>
      </c>
    </row>
    <row r="12" customFormat="false" ht="21.75" hidden="false" customHeight="true" outlineLevel="0" collapsed="false">
      <c r="A12" s="79" t="n">
        <v>3</v>
      </c>
      <c r="B12" s="80" t="s">
        <v>98</v>
      </c>
      <c r="C12" s="72" t="n">
        <v>1</v>
      </c>
      <c r="D12" s="72" t="n">
        <v>1</v>
      </c>
      <c r="E12" s="72" t="s">
        <v>214</v>
      </c>
      <c r="F12" s="81" t="s">
        <v>5</v>
      </c>
      <c r="G12" s="82" t="s">
        <v>67</v>
      </c>
      <c r="H12" s="75"/>
      <c r="I12" s="75"/>
      <c r="J12" s="83" t="str">
        <f aca="false">IF(AND(H12&lt;&gt;"",I12&lt;&gt;"",E12&lt;&gt;""),IF(OR(AND(UPPER(E12)="1",H12&gt;I12),AND(UPPER(E12)="X",H12=I12),AND(UPPER(E12)="2",H12&lt;I12)),1,0),"")</f>
        <v/>
      </c>
      <c r="K12" s="83" t="str">
        <f aca="false">IF(AND(H12&lt;&gt;"",I12&lt;&gt;"",C12&lt;&gt;"",D12&lt;&gt;""),IF(AND(H12=C12,I12=D12),3,0),"")</f>
        <v/>
      </c>
      <c r="L12" s="84" t="s">
        <v>256</v>
      </c>
      <c r="M12" s="85" t="s">
        <v>95</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259</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68</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67</v>
      </c>
      <c r="C18" s="92"/>
      <c r="D18" s="92"/>
      <c r="E18" s="92"/>
      <c r="F18" s="92"/>
      <c r="G18" s="93"/>
      <c r="H18" s="93"/>
      <c r="I18" s="93"/>
      <c r="J18" s="94"/>
      <c r="K18" s="94"/>
      <c r="L18" s="94"/>
      <c r="M18" s="94"/>
    </row>
    <row r="20" customFormat="false" ht="21.75" hidden="false" customHeight="true" outlineLevel="0" collapsed="false">
      <c r="A20" s="95" t="s">
        <v>260</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261</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75</v>
      </c>
      <c r="C5" s="72" t="n">
        <v>2</v>
      </c>
      <c r="D5" s="72" t="n">
        <v>0</v>
      </c>
      <c r="E5" s="72" t="s">
        <v>212</v>
      </c>
      <c r="F5" s="73" t="s">
        <v>5</v>
      </c>
      <c r="G5" s="74" t="s">
        <v>76</v>
      </c>
      <c r="H5" s="75"/>
      <c r="I5" s="75"/>
      <c r="J5" s="76" t="str">
        <f aca="false">IF(AND(H5&lt;&gt;"",I5&lt;&gt;"",E5&lt;&gt;""),IF(OR(AND(UPPER(E5)="1",H5&gt;I5),AND(UPPER(E5)="X",H5=I5),AND(UPPER(E5)="2",H5&lt;I5)),1,0),"")</f>
        <v/>
      </c>
      <c r="K5" s="76" t="str">
        <f aca="false">IF(AND(H5&lt;&gt;"",I5&lt;&gt;"",C5&lt;&gt;"",D5&lt;&gt;""),IF(AND(H5=C5,I5=D5),3,0),"")</f>
        <v/>
      </c>
      <c r="L5" s="77" t="s">
        <v>254</v>
      </c>
      <c r="M5" s="78" t="s">
        <v>10</v>
      </c>
    </row>
    <row r="6" customFormat="false" ht="21.75" hidden="false" customHeight="true" outlineLevel="0" collapsed="false">
      <c r="A6" s="79" t="n">
        <v>1</v>
      </c>
      <c r="B6" s="80" t="s">
        <v>78</v>
      </c>
      <c r="C6" s="72" t="n">
        <v>0</v>
      </c>
      <c r="D6" s="72" t="n">
        <v>2</v>
      </c>
      <c r="E6" s="72" t="s">
        <v>218</v>
      </c>
      <c r="F6" s="81" t="s">
        <v>5</v>
      </c>
      <c r="G6" s="82" t="s">
        <v>79</v>
      </c>
      <c r="H6" s="75"/>
      <c r="I6" s="75"/>
      <c r="J6" s="83" t="str">
        <f aca="false">IF(AND(H6&lt;&gt;"",I6&lt;&gt;"",E6&lt;&gt;""),IF(OR(AND(UPPER(E6)="1",H6&gt;I6),AND(UPPER(E6)="X",H6=I6),AND(UPPER(E6)="2",H6&lt;I6)),1,0),"")</f>
        <v/>
      </c>
      <c r="K6" s="83" t="str">
        <f aca="false">IF(AND(H6&lt;&gt;"",I6&lt;&gt;"",C6&lt;&gt;"",D6&lt;&gt;""),IF(AND(H6=C6,I6=D6),3,0),"")</f>
        <v/>
      </c>
      <c r="L6" s="84" t="s">
        <v>262</v>
      </c>
      <c r="M6" s="85" t="s">
        <v>36</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75</v>
      </c>
      <c r="C8" s="72" t="n">
        <v>3</v>
      </c>
      <c r="D8" s="72" t="n">
        <v>0</v>
      </c>
      <c r="E8" s="72" t="s">
        <v>212</v>
      </c>
      <c r="F8" s="81" t="s">
        <v>5</v>
      </c>
      <c r="G8" s="82" t="s">
        <v>78</v>
      </c>
      <c r="H8" s="75"/>
      <c r="I8" s="75"/>
      <c r="J8" s="83" t="str">
        <f aca="false">IF(AND(H8&lt;&gt;"",I8&lt;&gt;"",E8&lt;&gt;""),IF(OR(AND(UPPER(E8)="1",H8&gt;I8),AND(UPPER(E8)="X",H8=I8),AND(UPPER(E8)="2",H8&lt;I8)),1,0),"")</f>
        <v/>
      </c>
      <c r="K8" s="83" t="str">
        <f aca="false">IF(AND(H8&lt;&gt;"",I8&lt;&gt;"",C8&lt;&gt;"",D8&lt;&gt;""),IF(AND(H8=C8,I8=D8),3,0),"")</f>
        <v/>
      </c>
      <c r="L8" s="84" t="s">
        <v>255</v>
      </c>
      <c r="M8" s="99" t="s">
        <v>99</v>
      </c>
    </row>
    <row r="9" customFormat="false" ht="21.75" hidden="false" customHeight="true" outlineLevel="0" collapsed="false">
      <c r="A9" s="70" t="n">
        <v>2</v>
      </c>
      <c r="B9" s="71" t="s">
        <v>79</v>
      </c>
      <c r="C9" s="72" t="n">
        <v>1</v>
      </c>
      <c r="D9" s="72" t="n">
        <v>1</v>
      </c>
      <c r="E9" s="72" t="s">
        <v>214</v>
      </c>
      <c r="F9" s="73" t="s">
        <v>5</v>
      </c>
      <c r="G9" s="74" t="s">
        <v>76</v>
      </c>
      <c r="H9" s="75"/>
      <c r="I9" s="75"/>
      <c r="J9" s="76" t="str">
        <f aca="false">IF(AND(H9&lt;&gt;"",I9&lt;&gt;"",E9&lt;&gt;""),IF(OR(AND(UPPER(E9)="1",H9&gt;I9),AND(UPPER(E9)="X",H9=I9),AND(UPPER(E9)="2",H9&lt;I9)),1,0),"")</f>
        <v/>
      </c>
      <c r="K9" s="76" t="str">
        <f aca="false">IF(AND(H9&lt;&gt;"",I9&lt;&gt;"",C9&lt;&gt;"",D9&lt;&gt;""),IF(AND(H9=C9,I9=D9),3,0),"")</f>
        <v/>
      </c>
      <c r="L9" s="77" t="s">
        <v>263</v>
      </c>
      <c r="M9" s="86" t="s">
        <v>95</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79</v>
      </c>
      <c r="C11" s="72" t="n">
        <v>1</v>
      </c>
      <c r="D11" s="72" t="n">
        <v>2</v>
      </c>
      <c r="E11" s="72" t="s">
        <v>218</v>
      </c>
      <c r="F11" s="73" t="s">
        <v>5</v>
      </c>
      <c r="G11" s="74" t="s">
        <v>75</v>
      </c>
      <c r="H11" s="75"/>
      <c r="I11" s="75"/>
      <c r="J11" s="76" t="str">
        <f aca="false">IF(AND(H11&lt;&gt;"",I11&lt;&gt;"",E11&lt;&gt;""),IF(OR(AND(UPPER(E11)="1",H11&gt;I11),AND(UPPER(E11)="X",H11=I11),AND(UPPER(E11)="2",H11&lt;I11)),1,0),"")</f>
        <v/>
      </c>
      <c r="K11" s="76" t="str">
        <f aca="false">IF(AND(H11&lt;&gt;"",I11&lt;&gt;"",C11&lt;&gt;"",D11&lt;&gt;""),IF(AND(H11=C11,I11=D11),3,0),"")</f>
        <v/>
      </c>
      <c r="L11" s="77" t="s">
        <v>245</v>
      </c>
      <c r="M11" s="78" t="s">
        <v>10</v>
      </c>
    </row>
    <row r="12" customFormat="false" ht="21.75" hidden="false" customHeight="true" outlineLevel="0" collapsed="false">
      <c r="A12" s="79" t="n">
        <v>3</v>
      </c>
      <c r="B12" s="80" t="s">
        <v>76</v>
      </c>
      <c r="C12" s="72" t="n">
        <v>1</v>
      </c>
      <c r="D12" s="72" t="n">
        <v>0</v>
      </c>
      <c r="E12" s="72" t="s">
        <v>212</v>
      </c>
      <c r="F12" s="81" t="s">
        <v>5</v>
      </c>
      <c r="G12" s="82" t="s">
        <v>78</v>
      </c>
      <c r="H12" s="75"/>
      <c r="I12" s="75"/>
      <c r="J12" s="83" t="str">
        <f aca="false">IF(AND(H12&lt;&gt;"",I12&lt;&gt;"",E12&lt;&gt;""),IF(OR(AND(UPPER(E12)="1",H12&gt;I12),AND(UPPER(E12)="X",H12=I12),AND(UPPER(E12)="2",H12&lt;I12)),1,0),"")</f>
        <v/>
      </c>
      <c r="K12" s="83" t="str">
        <f aca="false">IF(AND(H12&lt;&gt;"",I12&lt;&gt;"",C12&lt;&gt;"",D12&lt;&gt;""),IF(AND(H12=C12,I12=D12),3,0),"")</f>
        <v/>
      </c>
      <c r="L12" s="84" t="s">
        <v>245</v>
      </c>
      <c r="M12" s="99" t="s">
        <v>10</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75</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79</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76</v>
      </c>
      <c r="C18" s="92"/>
      <c r="D18" s="92"/>
      <c r="E18" s="92"/>
      <c r="F18" s="92"/>
      <c r="G18" s="93"/>
      <c r="H18" s="93"/>
      <c r="I18" s="93"/>
      <c r="J18" s="94"/>
      <c r="K18" s="94"/>
      <c r="L18" s="94"/>
      <c r="M18" s="94"/>
    </row>
    <row r="20" customFormat="false" ht="21.75" hidden="false" customHeight="true" outlineLevel="0" collapsed="false">
      <c r="A20" s="95" t="s">
        <v>264</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265</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80</v>
      </c>
      <c r="C5" s="72" t="n">
        <v>3</v>
      </c>
      <c r="D5" s="72" t="n">
        <v>0</v>
      </c>
      <c r="E5" s="72" t="s">
        <v>212</v>
      </c>
      <c r="F5" s="73" t="s">
        <v>5</v>
      </c>
      <c r="G5" s="74" t="s">
        <v>81</v>
      </c>
      <c r="H5" s="75"/>
      <c r="I5" s="75"/>
      <c r="J5" s="76" t="str">
        <f aca="false">IF(AND(H5&lt;&gt;"",I5&lt;&gt;"",E5&lt;&gt;""),IF(OR(AND(UPPER(E5)="1",H5&gt;I5),AND(UPPER(E5)="X",H5=I5),AND(UPPER(E5)="2",H5&lt;I5)),1,0),"")</f>
        <v/>
      </c>
      <c r="K5" s="76" t="str">
        <f aca="false">IF(AND(H5&lt;&gt;"",I5&lt;&gt;"",C5&lt;&gt;"",D5&lt;&gt;""),IF(AND(H5=C5,I5=D5),3,0),"")</f>
        <v/>
      </c>
      <c r="L5" s="77" t="s">
        <v>262</v>
      </c>
      <c r="M5" s="86" t="s">
        <v>24</v>
      </c>
    </row>
    <row r="6" customFormat="false" ht="21.75" hidden="false" customHeight="true" outlineLevel="0" collapsed="false">
      <c r="A6" s="79" t="n">
        <v>1</v>
      </c>
      <c r="B6" s="80" t="s">
        <v>72</v>
      </c>
      <c r="C6" s="72" t="n">
        <v>2</v>
      </c>
      <c r="D6" s="72" t="n">
        <v>0</v>
      </c>
      <c r="E6" s="72" t="s">
        <v>212</v>
      </c>
      <c r="F6" s="81" t="s">
        <v>5</v>
      </c>
      <c r="G6" s="82" t="s">
        <v>73</v>
      </c>
      <c r="H6" s="75"/>
      <c r="I6" s="75"/>
      <c r="J6" s="83" t="str">
        <f aca="false">IF(AND(H6&lt;&gt;"",I6&lt;&gt;"",E6&lt;&gt;""),IF(OR(AND(UPPER(E6)="1",H6&gt;I6),AND(UPPER(E6)="X",H6=I6),AND(UPPER(E6)="2",H6&lt;I6)),1,0),"")</f>
        <v/>
      </c>
      <c r="K6" s="83" t="str">
        <f aca="false">IF(AND(H6&lt;&gt;"",I6&lt;&gt;"",C6&lt;&gt;"",D6&lt;&gt;""),IF(AND(H6=C6,I6=D6),3,0),"")</f>
        <v/>
      </c>
      <c r="L6" s="84" t="s">
        <v>254</v>
      </c>
      <c r="M6" s="85" t="s">
        <v>28</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80</v>
      </c>
      <c r="C8" s="72" t="n">
        <v>2</v>
      </c>
      <c r="D8" s="72" t="n">
        <v>0</v>
      </c>
      <c r="E8" s="72" t="s">
        <v>212</v>
      </c>
      <c r="F8" s="81" t="s">
        <v>5</v>
      </c>
      <c r="G8" s="82" t="s">
        <v>72</v>
      </c>
      <c r="H8" s="75"/>
      <c r="I8" s="75"/>
      <c r="J8" s="83" t="str">
        <f aca="false">IF(AND(H8&lt;&gt;"",I8&lt;&gt;"",E8&lt;&gt;""),IF(OR(AND(UPPER(E8)="1",H8&gt;I8),AND(UPPER(E8)="X",H8=I8),AND(UPPER(E8)="2",H8&lt;I8)),1,0),"")</f>
        <v/>
      </c>
      <c r="K8" s="83" t="str">
        <f aca="false">IF(AND(H8&lt;&gt;"",I8&lt;&gt;"",C8&lt;&gt;"",D8&lt;&gt;""),IF(AND(H8=C8,I8=D8),3,0),"")</f>
        <v/>
      </c>
      <c r="L8" s="84" t="s">
        <v>255</v>
      </c>
      <c r="M8" s="99" t="s">
        <v>43</v>
      </c>
    </row>
    <row r="9" customFormat="false" ht="21.75" hidden="false" customHeight="true" outlineLevel="0" collapsed="false">
      <c r="A9" s="70" t="n">
        <v>2</v>
      </c>
      <c r="B9" s="71" t="s">
        <v>81</v>
      </c>
      <c r="C9" s="72" t="n">
        <v>1</v>
      </c>
      <c r="D9" s="72" t="n">
        <v>0</v>
      </c>
      <c r="E9" s="72" t="s">
        <v>212</v>
      </c>
      <c r="F9" s="73" t="s">
        <v>5</v>
      </c>
      <c r="G9" s="74" t="s">
        <v>73</v>
      </c>
      <c r="H9" s="75"/>
      <c r="I9" s="75"/>
      <c r="J9" s="76" t="str">
        <f aca="false">IF(AND(H9&lt;&gt;"",I9&lt;&gt;"",E9&lt;&gt;""),IF(OR(AND(UPPER(E9)="1",H9&gt;I9),AND(UPPER(E9)="X",H9=I9),AND(UPPER(E9)="2",H9&lt;I9)),1,0),"")</f>
        <v/>
      </c>
      <c r="K9" s="76" t="str">
        <f aca="false">IF(AND(H9&lt;&gt;"",I9&lt;&gt;"",C9&lt;&gt;"",D9&lt;&gt;""),IF(AND(H9=C9,I9=D9),3,0),"")</f>
        <v/>
      </c>
      <c r="L9" s="77" t="s">
        <v>255</v>
      </c>
      <c r="M9" s="86" t="s">
        <v>101</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73</v>
      </c>
      <c r="C11" s="72" t="n">
        <v>0</v>
      </c>
      <c r="D11" s="72" t="n">
        <v>2</v>
      </c>
      <c r="E11" s="72" t="s">
        <v>218</v>
      </c>
      <c r="F11" s="73" t="s">
        <v>5</v>
      </c>
      <c r="G11" s="74" t="s">
        <v>80</v>
      </c>
      <c r="H11" s="75"/>
      <c r="I11" s="75"/>
      <c r="J11" s="76" t="str">
        <f aca="false">IF(AND(H11&lt;&gt;"",I11&lt;&gt;"",E11&lt;&gt;""),IF(OR(AND(UPPER(E11)="1",H11&gt;I11),AND(UPPER(E11)="X",H11=I11),AND(UPPER(E11)="2",H11&lt;I11)),1,0),"")</f>
        <v/>
      </c>
      <c r="K11" s="76" t="str">
        <f aca="false">IF(AND(H11&lt;&gt;"",I11&lt;&gt;"",C11&lt;&gt;"",D11&lt;&gt;""),IF(AND(H11=C11,I11=D11),3,0),"")</f>
        <v/>
      </c>
      <c r="L11" s="77" t="s">
        <v>256</v>
      </c>
      <c r="M11" s="86" t="s">
        <v>16</v>
      </c>
    </row>
    <row r="12" customFormat="false" ht="21.75" hidden="false" customHeight="true" outlineLevel="0" collapsed="false">
      <c r="A12" s="79" t="n">
        <v>3</v>
      </c>
      <c r="B12" s="80" t="s">
        <v>81</v>
      </c>
      <c r="C12" s="72" t="n">
        <v>0</v>
      </c>
      <c r="D12" s="72" t="n">
        <v>1</v>
      </c>
      <c r="E12" s="72" t="s">
        <v>218</v>
      </c>
      <c r="F12" s="81" t="s">
        <v>5</v>
      </c>
      <c r="G12" s="82" t="s">
        <v>72</v>
      </c>
      <c r="H12" s="75"/>
      <c r="I12" s="75"/>
      <c r="J12" s="83" t="str">
        <f aca="false">IF(AND(H12&lt;&gt;"",I12&lt;&gt;"",E12&lt;&gt;""),IF(OR(AND(UPPER(E12)="1",H12&gt;I12),AND(UPPER(E12)="X",H12=I12),AND(UPPER(E12)="2",H12&lt;I12)),1,0),"")</f>
        <v/>
      </c>
      <c r="K12" s="83" t="str">
        <f aca="false">IF(AND(H12&lt;&gt;"",I12&lt;&gt;"",C12&lt;&gt;"",D12&lt;&gt;""),IF(AND(H12=C12,I12=D12),3,0),"")</f>
        <v/>
      </c>
      <c r="L12" s="84" t="s">
        <v>256</v>
      </c>
      <c r="M12" s="85" t="s">
        <v>16</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80</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72</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81</v>
      </c>
      <c r="C18" s="92"/>
      <c r="D18" s="92"/>
      <c r="E18" s="92"/>
      <c r="F18" s="92"/>
      <c r="G18" s="93"/>
      <c r="H18" s="93"/>
      <c r="I18" s="93"/>
      <c r="J18" s="94"/>
      <c r="K18" s="94"/>
      <c r="L18" s="94"/>
      <c r="M18" s="94"/>
    </row>
    <row r="20" customFormat="false" ht="21.75" hidden="false" customHeight="true" outlineLevel="0" collapsed="false">
      <c r="A20" s="95" t="s">
        <v>266</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267</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82</v>
      </c>
      <c r="C5" s="72" t="n">
        <v>3</v>
      </c>
      <c r="D5" s="72" t="n">
        <v>0</v>
      </c>
      <c r="E5" s="72" t="s">
        <v>212</v>
      </c>
      <c r="F5" s="73" t="s">
        <v>5</v>
      </c>
      <c r="G5" s="74" t="s">
        <v>83</v>
      </c>
      <c r="H5" s="75"/>
      <c r="I5" s="75"/>
      <c r="J5" s="76" t="str">
        <f aca="false">IF(AND(H5&lt;&gt;"",I5&lt;&gt;"",E5&lt;&gt;""),IF(OR(AND(UPPER(E5)="1",H5&gt;I5),AND(UPPER(E5)="X",H5=I5),AND(UPPER(E5)="2",H5&lt;I5)),1,0),"")</f>
        <v/>
      </c>
      <c r="K5" s="76" t="str">
        <f aca="false">IF(AND(H5&lt;&gt;"",I5&lt;&gt;"",C5&lt;&gt;"",D5&lt;&gt;""),IF(AND(H5=C5,I5=D5),3,0),"")</f>
        <v/>
      </c>
      <c r="L5" s="77" t="s">
        <v>262</v>
      </c>
      <c r="M5" s="78" t="s">
        <v>43</v>
      </c>
    </row>
    <row r="6" customFormat="false" ht="21.75" hidden="false" customHeight="true" outlineLevel="0" collapsed="false">
      <c r="A6" s="79" t="n">
        <v>1</v>
      </c>
      <c r="B6" s="80" t="s">
        <v>89</v>
      </c>
      <c r="C6" s="72" t="n">
        <v>0</v>
      </c>
      <c r="D6" s="72" t="n">
        <v>2</v>
      </c>
      <c r="E6" s="72" t="s">
        <v>218</v>
      </c>
      <c r="F6" s="81" t="s">
        <v>5</v>
      </c>
      <c r="G6" s="82" t="s">
        <v>90</v>
      </c>
      <c r="H6" s="75"/>
      <c r="I6" s="75"/>
      <c r="J6" s="83" t="str">
        <f aca="false">IF(AND(H6&lt;&gt;"",I6&lt;&gt;"",E6&lt;&gt;""),IF(OR(AND(UPPER(E6)="1",H6&gt;I6),AND(UPPER(E6)="X",H6=I6),AND(UPPER(E6)="2",H6&lt;I6)),1,0),"")</f>
        <v/>
      </c>
      <c r="K6" s="83" t="str">
        <f aca="false">IF(AND(H6&lt;&gt;"",I6&lt;&gt;"",C6&lt;&gt;"",D6&lt;&gt;""),IF(AND(H6=C6,I6=D6),3,0),"")</f>
        <v/>
      </c>
      <c r="L6" s="84" t="s">
        <v>219</v>
      </c>
      <c r="M6" s="85" t="s">
        <v>16</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82</v>
      </c>
      <c r="C8" s="72" t="n">
        <v>2</v>
      </c>
      <c r="D8" s="72" t="n">
        <v>0</v>
      </c>
      <c r="E8" s="72" t="s">
        <v>212</v>
      </c>
      <c r="F8" s="81" t="s">
        <v>5</v>
      </c>
      <c r="G8" s="82" t="s">
        <v>89</v>
      </c>
      <c r="H8" s="75"/>
      <c r="I8" s="75"/>
      <c r="J8" s="83" t="str">
        <f aca="false">IF(AND(H8&lt;&gt;"",I8&lt;&gt;"",E8&lt;&gt;""),IF(OR(AND(UPPER(E8)="1",H8&gt;I8),AND(UPPER(E8)="X",H8=I8),AND(UPPER(E8)="2",H8&lt;I8)),1,0),"")</f>
        <v/>
      </c>
      <c r="K8" s="83" t="str">
        <f aca="false">IF(AND(H8&lt;&gt;"",I8&lt;&gt;"",C8&lt;&gt;"",D8&lt;&gt;""),IF(AND(H8=C8,I8=D8),3,0),"")</f>
        <v/>
      </c>
      <c r="L8" s="84" t="s">
        <v>263</v>
      </c>
      <c r="M8" s="99" t="s">
        <v>43</v>
      </c>
    </row>
    <row r="9" customFormat="false" ht="21.75" hidden="false" customHeight="true" outlineLevel="0" collapsed="false">
      <c r="A9" s="70" t="n">
        <v>2</v>
      </c>
      <c r="B9" s="71" t="s">
        <v>83</v>
      </c>
      <c r="C9" s="72" t="n">
        <v>1</v>
      </c>
      <c r="D9" s="72" t="n">
        <v>1</v>
      </c>
      <c r="E9" s="72" t="s">
        <v>214</v>
      </c>
      <c r="F9" s="73" t="s">
        <v>5</v>
      </c>
      <c r="G9" s="74" t="s">
        <v>90</v>
      </c>
      <c r="H9" s="75"/>
      <c r="I9" s="75"/>
      <c r="J9" s="76" t="str">
        <f aca="false">IF(AND(H9&lt;&gt;"",I9&lt;&gt;"",E9&lt;&gt;""),IF(OR(AND(UPPER(E9)="1",H9&gt;I9),AND(UPPER(E9)="X",H9=I9),AND(UPPER(E9)="2",H9&lt;I9)),1,0),"")</f>
        <v/>
      </c>
      <c r="K9" s="76" t="str">
        <f aca="false">IF(AND(H9&lt;&gt;"",I9&lt;&gt;"",C9&lt;&gt;"",D9&lt;&gt;""),IF(AND(H9=C9,I9=D9),3,0),"")</f>
        <v/>
      </c>
      <c r="L9" s="77" t="s">
        <v>263</v>
      </c>
      <c r="M9" s="78" t="s">
        <v>47</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90</v>
      </c>
      <c r="C11" s="72" t="n">
        <v>0</v>
      </c>
      <c r="D11" s="72" t="n">
        <v>1</v>
      </c>
      <c r="E11" s="72" t="s">
        <v>218</v>
      </c>
      <c r="F11" s="73" t="s">
        <v>5</v>
      </c>
      <c r="G11" s="74" t="s">
        <v>82</v>
      </c>
      <c r="H11" s="75"/>
      <c r="I11" s="75"/>
      <c r="J11" s="76" t="str">
        <f aca="false">IF(AND(H11&lt;&gt;"",I11&lt;&gt;"",E11&lt;&gt;""),IF(OR(AND(UPPER(E11)="1",H11&gt;I11),AND(UPPER(E11)="X",H11=I11),AND(UPPER(E11)="2",H11&lt;I11)),1,0),"")</f>
        <v/>
      </c>
      <c r="K11" s="76" t="str">
        <f aca="false">IF(AND(H11&lt;&gt;"",I11&lt;&gt;"",C11&lt;&gt;"",D11&lt;&gt;""),IF(AND(H11=C11,I11=D11),3,0),"")</f>
        <v/>
      </c>
      <c r="L11" s="77" t="s">
        <v>268</v>
      </c>
      <c r="M11" s="86" t="s">
        <v>110</v>
      </c>
    </row>
    <row r="12" customFormat="false" ht="21.75" hidden="false" customHeight="true" outlineLevel="0" collapsed="false">
      <c r="A12" s="79" t="n">
        <v>3</v>
      </c>
      <c r="B12" s="80" t="s">
        <v>83</v>
      </c>
      <c r="C12" s="72" t="n">
        <v>1</v>
      </c>
      <c r="D12" s="72" t="n">
        <v>1</v>
      </c>
      <c r="E12" s="72" t="s">
        <v>214</v>
      </c>
      <c r="F12" s="81" t="s">
        <v>5</v>
      </c>
      <c r="G12" s="82" t="s">
        <v>89</v>
      </c>
      <c r="H12" s="75"/>
      <c r="I12" s="75"/>
      <c r="J12" s="83" t="str">
        <f aca="false">IF(AND(H12&lt;&gt;"",I12&lt;&gt;"",E12&lt;&gt;""),IF(OR(AND(UPPER(E12)="1",H12&gt;I12),AND(UPPER(E12)="X",H12=I12),AND(UPPER(E12)="2",H12&lt;I12)),1,0),"")</f>
        <v/>
      </c>
      <c r="K12" s="83" t="str">
        <f aca="false">IF(AND(H12&lt;&gt;"",I12&lt;&gt;"",C12&lt;&gt;"",D12&lt;&gt;""),IF(AND(H12=C12,I12=D12),3,0),"")</f>
        <v/>
      </c>
      <c r="L12" s="84" t="s">
        <v>268</v>
      </c>
      <c r="M12" s="85" t="s">
        <v>110</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82</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90</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89</v>
      </c>
      <c r="C18" s="92"/>
      <c r="D18" s="92"/>
      <c r="E18" s="92"/>
      <c r="F18" s="92"/>
      <c r="G18" s="93"/>
      <c r="H18" s="93"/>
      <c r="I18" s="93"/>
      <c r="J18" s="94"/>
      <c r="K18" s="94"/>
      <c r="L18" s="94"/>
      <c r="M18" s="94"/>
    </row>
    <row r="20" customFormat="false" ht="21.75" hidden="false" customHeight="true" outlineLevel="0" collapsed="false">
      <c r="A20" s="95" t="s">
        <v>269</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5" min="3" style="1" width="7"/>
    <col collapsed="false" customWidth="true" hidden="false" outlineLevel="0" max="6" min="6" style="1" width="4"/>
    <col collapsed="false" customWidth="true" hidden="false" outlineLevel="0" max="7" min="7" style="1" width="17"/>
    <col collapsed="false" customWidth="true" hidden="false" outlineLevel="0" max="9" min="8" style="1" width="7"/>
    <col collapsed="false" customWidth="true" hidden="false" outlineLevel="0" max="11" min="10" style="1" width="8"/>
    <col collapsed="false" customWidth="true" hidden="false" outlineLevel="0" max="12" min="12" style="1" width="9"/>
    <col collapsed="false" customWidth="true" hidden="false" outlineLevel="0" max="13" min="13" style="1" width="7"/>
  </cols>
  <sheetData>
    <row r="1" customFormat="false" ht="31.5" hidden="false" customHeight="true" outlineLevel="0" collapsed="false">
      <c r="A1" s="64" t="s">
        <v>270</v>
      </c>
      <c r="B1" s="64"/>
      <c r="C1" s="64"/>
      <c r="D1" s="64"/>
      <c r="E1" s="64"/>
      <c r="F1" s="64"/>
      <c r="G1" s="64"/>
      <c r="H1" s="64"/>
      <c r="I1" s="64"/>
      <c r="J1" s="64"/>
      <c r="K1" s="64"/>
      <c r="L1" s="64"/>
      <c r="M1" s="64"/>
    </row>
    <row r="2" customFormat="false" ht="31.5" hidden="false" customHeight="true" outlineLevel="0" collapsed="false">
      <c r="A2" s="65" t="s">
        <v>201</v>
      </c>
      <c r="B2" s="65"/>
      <c r="C2" s="65"/>
      <c r="D2" s="65"/>
      <c r="E2" s="65"/>
      <c r="F2" s="65"/>
      <c r="G2" s="65"/>
      <c r="H2" s="65"/>
      <c r="I2" s="65"/>
      <c r="J2" s="65"/>
      <c r="K2" s="65"/>
      <c r="L2" s="65"/>
      <c r="M2" s="65"/>
    </row>
    <row r="3" customFormat="false" ht="39.75" hidden="false" customHeight="true" outlineLevel="0" collapsed="false">
      <c r="A3" s="66" t="s">
        <v>202</v>
      </c>
      <c r="B3" s="66" t="s">
        <v>4</v>
      </c>
      <c r="C3" s="67" t="s">
        <v>203</v>
      </c>
      <c r="D3" s="67" t="s">
        <v>204</v>
      </c>
      <c r="E3" s="67" t="s">
        <v>205</v>
      </c>
      <c r="F3" s="66" t="s">
        <v>5</v>
      </c>
      <c r="G3" s="66" t="s">
        <v>6</v>
      </c>
      <c r="H3" s="68" t="s">
        <v>206</v>
      </c>
      <c r="I3" s="68" t="s">
        <v>207</v>
      </c>
      <c r="J3" s="69" t="s">
        <v>208</v>
      </c>
      <c r="K3" s="69" t="s">
        <v>209</v>
      </c>
      <c r="L3" s="66" t="s">
        <v>2</v>
      </c>
      <c r="M3" s="66" t="s">
        <v>210</v>
      </c>
    </row>
    <row r="4" customFormat="false" ht="18" hidden="false" customHeight="true" outlineLevel="0" collapsed="false">
      <c r="A4" s="5" t="s">
        <v>211</v>
      </c>
      <c r="B4" s="5"/>
      <c r="C4" s="5"/>
      <c r="D4" s="5"/>
      <c r="E4" s="5"/>
      <c r="F4" s="5"/>
      <c r="G4" s="5"/>
      <c r="H4" s="5"/>
      <c r="I4" s="5"/>
      <c r="J4" s="5"/>
      <c r="K4" s="5"/>
      <c r="L4" s="5"/>
      <c r="M4" s="5"/>
    </row>
    <row r="5" customFormat="false" ht="21.75" hidden="false" customHeight="true" outlineLevel="0" collapsed="false">
      <c r="A5" s="70" t="n">
        <v>1</v>
      </c>
      <c r="B5" s="71" t="s">
        <v>84</v>
      </c>
      <c r="C5" s="72" t="n">
        <v>2</v>
      </c>
      <c r="D5" s="72" t="n">
        <v>1</v>
      </c>
      <c r="E5" s="72" t="s">
        <v>212</v>
      </c>
      <c r="F5" s="73" t="s">
        <v>5</v>
      </c>
      <c r="G5" s="74" t="s">
        <v>85</v>
      </c>
      <c r="H5" s="75"/>
      <c r="I5" s="75"/>
      <c r="J5" s="76" t="str">
        <f aca="false">IF(AND(H5&lt;&gt;"",I5&lt;&gt;"",E5&lt;&gt;""),IF(OR(AND(UPPER(E5)="1",H5&gt;I5),AND(UPPER(E5)="X",H5=I5),AND(UPPER(E5)="2",H5&lt;I5)),1,0),"")</f>
        <v/>
      </c>
      <c r="K5" s="76" t="str">
        <f aca="false">IF(AND(H5&lt;&gt;"",I5&lt;&gt;"",C5&lt;&gt;"",D5&lt;&gt;""),IF(AND(H5=C5,I5=D5),3,0),"")</f>
        <v/>
      </c>
      <c r="L5" s="77" t="s">
        <v>262</v>
      </c>
      <c r="M5" s="78" t="s">
        <v>47</v>
      </c>
    </row>
    <row r="6" customFormat="false" ht="21.75" hidden="false" customHeight="true" outlineLevel="0" collapsed="false">
      <c r="A6" s="79" t="n">
        <v>1</v>
      </c>
      <c r="B6" s="80" t="s">
        <v>87</v>
      </c>
      <c r="C6" s="72" t="n">
        <v>1</v>
      </c>
      <c r="D6" s="72" t="n">
        <v>1</v>
      </c>
      <c r="E6" s="72" t="s">
        <v>214</v>
      </c>
      <c r="F6" s="81" t="s">
        <v>5</v>
      </c>
      <c r="G6" s="82" t="s">
        <v>88</v>
      </c>
      <c r="H6" s="75"/>
      <c r="I6" s="75"/>
      <c r="J6" s="83" t="str">
        <f aca="false">IF(AND(H6&lt;&gt;"",I6&lt;&gt;"",E6&lt;&gt;""),IF(OR(AND(UPPER(E6)="1",H6&gt;I6),AND(UPPER(E6)="X",H6=I6),AND(UPPER(E6)="2",H6&lt;I6)),1,0),"")</f>
        <v/>
      </c>
      <c r="K6" s="83" t="str">
        <f aca="false">IF(AND(H6&lt;&gt;"",I6&lt;&gt;"",C6&lt;&gt;"",D6&lt;&gt;""),IF(AND(H6=C6,I6=D6),3,0),"")</f>
        <v/>
      </c>
      <c r="L6" s="84" t="s">
        <v>219</v>
      </c>
      <c r="M6" s="85" t="s">
        <v>52</v>
      </c>
    </row>
    <row r="7" customFormat="false" ht="18" hidden="false" customHeight="true" outlineLevel="0" collapsed="false">
      <c r="A7" s="5" t="s">
        <v>216</v>
      </c>
      <c r="B7" s="5"/>
      <c r="C7" s="5"/>
      <c r="D7" s="5"/>
      <c r="E7" s="5"/>
      <c r="F7" s="5"/>
      <c r="G7" s="5"/>
      <c r="H7" s="5"/>
      <c r="I7" s="5"/>
      <c r="J7" s="5"/>
      <c r="K7" s="5"/>
      <c r="L7" s="5"/>
      <c r="M7" s="5"/>
    </row>
    <row r="8" customFormat="false" ht="21.75" hidden="false" customHeight="true" outlineLevel="0" collapsed="false">
      <c r="A8" s="79" t="n">
        <v>2</v>
      </c>
      <c r="B8" s="80" t="s">
        <v>84</v>
      </c>
      <c r="C8" s="72" t="n">
        <v>2</v>
      </c>
      <c r="D8" s="72" t="n">
        <v>0</v>
      </c>
      <c r="E8" s="72" t="s">
        <v>212</v>
      </c>
      <c r="F8" s="81" t="s">
        <v>5</v>
      </c>
      <c r="G8" s="82" t="s">
        <v>87</v>
      </c>
      <c r="H8" s="75"/>
      <c r="I8" s="75"/>
      <c r="J8" s="83" t="str">
        <f aca="false">IF(AND(H8&lt;&gt;"",I8&lt;&gt;"",E8&lt;&gt;""),IF(OR(AND(UPPER(E8)="1",H8&gt;I8),AND(UPPER(E8)="X",H8=I8),AND(UPPER(E8)="2",H8&lt;I8)),1,0),"")</f>
        <v/>
      </c>
      <c r="K8" s="83" t="str">
        <f aca="false">IF(AND(H8&lt;&gt;"",I8&lt;&gt;"",C8&lt;&gt;"",D8&lt;&gt;""),IF(AND(H8=C8,I8=D8),3,0),"")</f>
        <v/>
      </c>
      <c r="L8" s="84" t="s">
        <v>263</v>
      </c>
      <c r="M8" s="99" t="s">
        <v>47</v>
      </c>
    </row>
    <row r="9" customFormat="false" ht="21.75" hidden="false" customHeight="true" outlineLevel="0" collapsed="false">
      <c r="A9" s="70" t="n">
        <v>2</v>
      </c>
      <c r="B9" s="71" t="s">
        <v>88</v>
      </c>
      <c r="C9" s="72" t="n">
        <v>0</v>
      </c>
      <c r="D9" s="72" t="n">
        <v>2</v>
      </c>
      <c r="E9" s="72" t="s">
        <v>218</v>
      </c>
      <c r="F9" s="73" t="s">
        <v>5</v>
      </c>
      <c r="G9" s="74" t="s">
        <v>85</v>
      </c>
      <c r="H9" s="75"/>
      <c r="I9" s="75"/>
      <c r="J9" s="76" t="str">
        <f aca="false">IF(AND(H9&lt;&gt;"",I9&lt;&gt;"",E9&lt;&gt;""),IF(OR(AND(UPPER(E9)="1",H9&gt;I9),AND(UPPER(E9)="X",H9=I9),AND(UPPER(E9)="2",H9&lt;I9)),1,0),"")</f>
        <v/>
      </c>
      <c r="K9" s="76" t="str">
        <f aca="false">IF(AND(H9&lt;&gt;"",I9&lt;&gt;"",C9&lt;&gt;"",D9&lt;&gt;""),IF(AND(H9=C9,I9=D9),3,0),"")</f>
        <v/>
      </c>
      <c r="L9" s="77" t="s">
        <v>263</v>
      </c>
      <c r="M9" s="78" t="s">
        <v>43</v>
      </c>
    </row>
    <row r="10" customFormat="false" ht="18" hidden="false" customHeight="true" outlineLevel="0" collapsed="false">
      <c r="A10" s="5" t="s">
        <v>220</v>
      </c>
      <c r="B10" s="5"/>
      <c r="C10" s="5"/>
      <c r="D10" s="5"/>
      <c r="E10" s="5"/>
      <c r="F10" s="5"/>
      <c r="G10" s="5"/>
      <c r="H10" s="5"/>
      <c r="I10" s="5"/>
      <c r="J10" s="5"/>
      <c r="K10" s="5"/>
      <c r="L10" s="5"/>
      <c r="M10" s="5"/>
    </row>
    <row r="11" customFormat="false" ht="21.75" hidden="false" customHeight="true" outlineLevel="0" collapsed="false">
      <c r="A11" s="70" t="n">
        <v>3</v>
      </c>
      <c r="B11" s="71" t="s">
        <v>88</v>
      </c>
      <c r="C11" s="72" t="n">
        <v>0</v>
      </c>
      <c r="D11" s="72" t="n">
        <v>2</v>
      </c>
      <c r="E11" s="72" t="s">
        <v>218</v>
      </c>
      <c r="F11" s="73" t="s">
        <v>5</v>
      </c>
      <c r="G11" s="74" t="s">
        <v>84</v>
      </c>
      <c r="H11" s="75"/>
      <c r="I11" s="75"/>
      <c r="J11" s="76" t="str">
        <f aca="false">IF(AND(H11&lt;&gt;"",I11&lt;&gt;"",E11&lt;&gt;""),IF(OR(AND(UPPER(E11)="1",H11&gt;I11),AND(UPPER(E11)="X",H11=I11),AND(UPPER(E11)="2",H11&lt;I11)),1,0),"")</f>
        <v/>
      </c>
      <c r="K11" s="76" t="str">
        <f aca="false">IF(AND(H11&lt;&gt;"",I11&lt;&gt;"",C11&lt;&gt;"",D11&lt;&gt;""),IF(AND(H11=C11,I11=D11),3,0),"")</f>
        <v/>
      </c>
      <c r="L11" s="77" t="s">
        <v>256</v>
      </c>
      <c r="M11" s="78" t="s">
        <v>99</v>
      </c>
    </row>
    <row r="12" customFormat="false" ht="21.75" hidden="false" customHeight="true" outlineLevel="0" collapsed="false">
      <c r="A12" s="79" t="n">
        <v>3</v>
      </c>
      <c r="B12" s="80" t="s">
        <v>85</v>
      </c>
      <c r="C12" s="72" t="n">
        <v>1</v>
      </c>
      <c r="D12" s="72" t="n">
        <v>1</v>
      </c>
      <c r="E12" s="72" t="s">
        <v>214</v>
      </c>
      <c r="F12" s="81" t="s">
        <v>5</v>
      </c>
      <c r="G12" s="82" t="s">
        <v>87</v>
      </c>
      <c r="H12" s="75"/>
      <c r="I12" s="75"/>
      <c r="J12" s="83" t="str">
        <f aca="false">IF(AND(H12&lt;&gt;"",I12&lt;&gt;"",E12&lt;&gt;""),IF(OR(AND(UPPER(E12)="1",H12&gt;I12),AND(UPPER(E12)="X",H12=I12),AND(UPPER(E12)="2",H12&lt;I12)),1,0),"")</f>
        <v/>
      </c>
      <c r="K12" s="83" t="str">
        <f aca="false">IF(AND(H12&lt;&gt;"",I12&lt;&gt;"",C12&lt;&gt;"",D12&lt;&gt;""),IF(AND(H12=C12,I12=D12),3,0),"")</f>
        <v/>
      </c>
      <c r="L12" s="84" t="s">
        <v>256</v>
      </c>
      <c r="M12" s="99" t="s">
        <v>99</v>
      </c>
    </row>
    <row r="14" customFormat="false" ht="21.75" hidden="false" customHeight="true" outlineLevel="0" collapsed="false">
      <c r="A14" s="87" t="s">
        <v>222</v>
      </c>
      <c r="B14" s="87"/>
      <c r="C14" s="87"/>
      <c r="D14" s="87"/>
      <c r="E14" s="87"/>
      <c r="F14" s="87"/>
      <c r="G14" s="87"/>
      <c r="H14" s="87"/>
      <c r="I14" s="87"/>
      <c r="J14" s="87"/>
      <c r="K14" s="87"/>
      <c r="L14" s="87"/>
      <c r="M14" s="87"/>
    </row>
    <row r="15" customFormat="false" ht="21.75" hidden="false" customHeight="true" outlineLevel="0" collapsed="false">
      <c r="A15" s="88" t="s">
        <v>223</v>
      </c>
      <c r="B15" s="89" t="s">
        <v>224</v>
      </c>
      <c r="C15" s="89"/>
      <c r="D15" s="89"/>
      <c r="E15" s="89"/>
      <c r="F15" s="89"/>
      <c r="G15" s="90" t="s">
        <v>225</v>
      </c>
      <c r="H15" s="90"/>
      <c r="I15" s="90"/>
      <c r="J15" s="91" t="s">
        <v>226</v>
      </c>
      <c r="K15" s="91"/>
      <c r="L15" s="91"/>
      <c r="M15" s="91"/>
    </row>
    <row r="16" customFormat="false" ht="21.75" hidden="false" customHeight="true" outlineLevel="0" collapsed="false">
      <c r="A16" s="56" t="s">
        <v>227</v>
      </c>
      <c r="B16" s="92" t="s">
        <v>84</v>
      </c>
      <c r="C16" s="92"/>
      <c r="D16" s="92"/>
      <c r="E16" s="92"/>
      <c r="F16" s="92"/>
      <c r="G16" s="93"/>
      <c r="H16" s="93"/>
      <c r="I16" s="93"/>
      <c r="J16" s="94" t="str">
        <f aca="false">IF(AND(B16&lt;&gt;"",G16&lt;&gt;""),IF(LOWER(TRIM(B16))=LOWER(TRIM(G16)),4,0),"")</f>
        <v/>
      </c>
      <c r="K16" s="94"/>
      <c r="L16" s="94"/>
      <c r="M16" s="94"/>
    </row>
    <row r="17" customFormat="false" ht="21.75" hidden="false" customHeight="true" outlineLevel="0" collapsed="false">
      <c r="A17" s="56" t="s">
        <v>228</v>
      </c>
      <c r="B17" s="92" t="s">
        <v>85</v>
      </c>
      <c r="C17" s="92"/>
      <c r="D17" s="92"/>
      <c r="E17" s="92"/>
      <c r="F17" s="92"/>
      <c r="G17" s="93"/>
      <c r="H17" s="93"/>
      <c r="I17" s="93"/>
      <c r="J17" s="94" t="str">
        <f aca="false">IF(AND(B17&lt;&gt;"",G17&lt;&gt;""),IF(LOWER(TRIM(B17))=LOWER(TRIM(G17)),2,0),"")</f>
        <v/>
      </c>
      <c r="K17" s="94"/>
      <c r="L17" s="94"/>
      <c r="M17" s="94"/>
    </row>
    <row r="18" customFormat="false" ht="21.75" hidden="false" customHeight="true" outlineLevel="0" collapsed="false">
      <c r="A18" s="56" t="s">
        <v>229</v>
      </c>
      <c r="B18" s="92" t="s">
        <v>88</v>
      </c>
      <c r="C18" s="92"/>
      <c r="D18" s="92"/>
      <c r="E18" s="92"/>
      <c r="F18" s="92"/>
      <c r="G18" s="93"/>
      <c r="H18" s="93"/>
      <c r="I18" s="93"/>
      <c r="J18" s="94"/>
      <c r="K18" s="94"/>
      <c r="L18" s="94"/>
      <c r="M18" s="94"/>
    </row>
    <row r="20" customFormat="false" ht="21.75" hidden="false" customHeight="true" outlineLevel="0" collapsed="false">
      <c r="A20" s="95" t="s">
        <v>271</v>
      </c>
      <c r="B20" s="95"/>
      <c r="C20" s="95"/>
      <c r="D20" s="95"/>
      <c r="E20" s="95"/>
      <c r="F20" s="95"/>
      <c r="G20" s="95"/>
      <c r="H20" s="95"/>
      <c r="I20" s="95"/>
      <c r="J20" s="95"/>
      <c r="K20" s="95"/>
      <c r="L20" s="95"/>
      <c r="M20" s="95"/>
    </row>
    <row r="21" customFormat="false" ht="19.5" hidden="false" customHeight="true" outlineLevel="0" collapsed="false">
      <c r="A21" s="57" t="s">
        <v>231</v>
      </c>
      <c r="B21" s="57"/>
      <c r="C21" s="57"/>
      <c r="D21" s="57"/>
      <c r="E21" s="57"/>
      <c r="F21" s="57"/>
      <c r="G21" s="57"/>
      <c r="H21" s="57"/>
      <c r="I21" s="57"/>
      <c r="J21" s="96" t="n">
        <f aca="false">IFERROR(SUM(J5:J12),0)</f>
        <v>0</v>
      </c>
      <c r="K21" s="96"/>
      <c r="L21" s="96"/>
      <c r="M21" s="96"/>
    </row>
    <row r="22" customFormat="false" ht="19.5" hidden="false" customHeight="true" outlineLevel="0" collapsed="false">
      <c r="A22" s="57" t="s">
        <v>232</v>
      </c>
      <c r="B22" s="57"/>
      <c r="C22" s="57"/>
      <c r="D22" s="57"/>
      <c r="E22" s="57"/>
      <c r="F22" s="57"/>
      <c r="G22" s="57"/>
      <c r="H22" s="57"/>
      <c r="I22" s="57"/>
      <c r="J22" s="96" t="n">
        <f aca="false">IFERROR(SUM(K5:K12),0)</f>
        <v>0</v>
      </c>
      <c r="K22" s="96"/>
      <c r="L22" s="96"/>
      <c r="M22" s="96"/>
    </row>
    <row r="23" customFormat="false" ht="19.5" hidden="false" customHeight="true" outlineLevel="0" collapsed="false">
      <c r="A23" s="57" t="s">
        <v>233</v>
      </c>
      <c r="B23" s="57"/>
      <c r="C23" s="57"/>
      <c r="D23" s="57"/>
      <c r="E23" s="57"/>
      <c r="F23" s="57"/>
      <c r="G23" s="57"/>
      <c r="H23" s="57"/>
      <c r="I23" s="57"/>
      <c r="J23" s="96" t="n">
        <f aca="false">IFERROR(J16+J17,0)</f>
        <v>0</v>
      </c>
      <c r="K23" s="96"/>
      <c r="L23" s="96"/>
      <c r="M23" s="96"/>
    </row>
    <row r="24" customFormat="false" ht="19.5" hidden="false" customHeight="true" outlineLevel="0" collapsed="false">
      <c r="A24" s="57" t="s">
        <v>234</v>
      </c>
      <c r="B24" s="57"/>
      <c r="C24" s="57"/>
      <c r="D24" s="57"/>
      <c r="E24" s="57"/>
      <c r="F24" s="57"/>
      <c r="G24" s="57"/>
      <c r="H24" s="57"/>
      <c r="I24" s="57"/>
      <c r="J24" s="96" t="n">
        <f aca="false">IFERROR(J18,0)</f>
        <v>0</v>
      </c>
      <c r="K24" s="96"/>
      <c r="L24" s="96"/>
      <c r="M24" s="96"/>
    </row>
    <row r="25" customFormat="false" ht="25.5" hidden="false" customHeight="true" outlineLevel="0" collapsed="false">
      <c r="A25" s="97" t="s">
        <v>235</v>
      </c>
      <c r="B25" s="97"/>
      <c r="C25" s="97"/>
      <c r="D25" s="97"/>
      <c r="E25" s="97"/>
      <c r="F25" s="97"/>
      <c r="G25" s="97"/>
      <c r="H25" s="97"/>
      <c r="I25" s="97"/>
      <c r="J25" s="98" t="n">
        <f aca="false">J21+J22+J23+J24</f>
        <v>0</v>
      </c>
      <c r="K25" s="98"/>
      <c r="L25" s="98"/>
      <c r="M25" s="98"/>
    </row>
  </sheetData>
  <mergeCells count="29">
    <mergeCell ref="A1:M1"/>
    <mergeCell ref="A2:M2"/>
    <mergeCell ref="A4:M4"/>
    <mergeCell ref="A7:M7"/>
    <mergeCell ref="A10:M10"/>
    <mergeCell ref="A14:M14"/>
    <mergeCell ref="B15:F15"/>
    <mergeCell ref="G15:I15"/>
    <mergeCell ref="J15:M15"/>
    <mergeCell ref="B16:F16"/>
    <mergeCell ref="G16:I16"/>
    <mergeCell ref="J16:M16"/>
    <mergeCell ref="B17:F17"/>
    <mergeCell ref="G17:I17"/>
    <mergeCell ref="J17:M17"/>
    <mergeCell ref="B18:F18"/>
    <mergeCell ref="G18:I18"/>
    <mergeCell ref="J18:M18"/>
    <mergeCell ref="A20:M20"/>
    <mergeCell ref="A21:I21"/>
    <mergeCell ref="J21:M21"/>
    <mergeCell ref="A22:I22"/>
    <mergeCell ref="J22:M22"/>
    <mergeCell ref="A23:I23"/>
    <mergeCell ref="J23:M23"/>
    <mergeCell ref="A24:I24"/>
    <mergeCell ref="J24:M24"/>
    <mergeCell ref="A25:I25"/>
    <mergeCell ref="J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false" showRowColHeaders="true" showZeros="true" rightToLeft="false" tabSelected="true" showOutlineSymbols="true" defaultGridColor="true" view="normal" topLeftCell="A28" colorId="64" zoomScale="100" zoomScaleNormal="100" zoomScalePageLayoutView="100" workbookViewId="0">
      <selection pane="topLeft" activeCell="A41" activeCellId="0" sqref="A41"/>
    </sheetView>
  </sheetViews>
  <sheetFormatPr defaultColWidth="8.71484375" defaultRowHeight="15"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3" min="3" style="1" width="2"/>
    <col collapsed="false" customWidth="true" hidden="false" outlineLevel="0" max="4" min="4" style="1" width="4"/>
    <col collapsed="false" customWidth="true" hidden="false" outlineLevel="0" max="5" min="5" style="1" width="36"/>
    <col collapsed="false" customWidth="true" hidden="false" outlineLevel="0" max="6" min="6" style="1" width="2"/>
    <col collapsed="false" customWidth="true" hidden="false" outlineLevel="0" max="7" min="7" style="1" width="26"/>
    <col collapsed="false" customWidth="true" hidden="false" outlineLevel="0" max="8" min="8" style="1" width="2"/>
    <col collapsed="false" customWidth="true" hidden="false" outlineLevel="0" max="11" min="9" style="1" width="26"/>
  </cols>
  <sheetData>
    <row r="1" customFormat="false" ht="37.5" hidden="false" customHeight="true" outlineLevel="0" collapsed="false">
      <c r="A1" s="109" t="s">
        <v>272</v>
      </c>
      <c r="B1" s="109"/>
      <c r="C1" s="109"/>
      <c r="D1" s="109"/>
      <c r="E1" s="109"/>
      <c r="F1" s="109"/>
      <c r="G1" s="109"/>
      <c r="H1" s="109"/>
      <c r="I1" s="109"/>
      <c r="J1" s="109"/>
      <c r="K1" s="109"/>
    </row>
    <row r="2" customFormat="false" ht="30" hidden="false" customHeight="true" outlineLevel="0" collapsed="false">
      <c r="A2" s="110" t="s">
        <v>273</v>
      </c>
      <c r="B2" s="110"/>
      <c r="C2" s="110"/>
      <c r="D2" s="110"/>
      <c r="E2" s="110"/>
      <c r="F2" s="110"/>
      <c r="G2" s="110"/>
      <c r="H2" s="110"/>
      <c r="I2" s="110"/>
      <c r="J2" s="110"/>
      <c r="K2" s="110"/>
    </row>
    <row r="4" customFormat="false" ht="25.5" hidden="false" customHeight="true" outlineLevel="0" collapsed="false">
      <c r="A4" s="111" t="s">
        <v>274</v>
      </c>
      <c r="B4" s="111"/>
      <c r="C4" s="111"/>
      <c r="D4" s="111"/>
      <c r="E4" s="111"/>
    </row>
    <row r="5" customFormat="false" ht="19.5" hidden="false" customHeight="true" outlineLevel="0" collapsed="false">
      <c r="A5" s="4" t="s">
        <v>275</v>
      </c>
      <c r="B5" s="4" t="s">
        <v>276</v>
      </c>
      <c r="D5" s="4" t="s">
        <v>275</v>
      </c>
      <c r="E5" s="4" t="s">
        <v>276</v>
      </c>
    </row>
    <row r="6" customFormat="false" ht="21.75" hidden="false" customHeight="true" outlineLevel="0" collapsed="false">
      <c r="A6" s="83" t="s">
        <v>277</v>
      </c>
      <c r="B6" s="16" t="s">
        <v>278</v>
      </c>
      <c r="D6" s="83" t="s">
        <v>279</v>
      </c>
      <c r="E6" s="16" t="s">
        <v>280</v>
      </c>
    </row>
    <row r="7" customFormat="false" ht="21.75" hidden="false" customHeight="true" outlineLevel="0" collapsed="false">
      <c r="A7" s="76" t="s">
        <v>281</v>
      </c>
      <c r="B7" s="10" t="s">
        <v>282</v>
      </c>
      <c r="D7" s="76" t="s">
        <v>283</v>
      </c>
      <c r="E7" s="10" t="s">
        <v>284</v>
      </c>
    </row>
    <row r="8" customFormat="false" ht="21.75" hidden="false" customHeight="true" outlineLevel="0" collapsed="false">
      <c r="A8" s="27" t="s">
        <v>285</v>
      </c>
      <c r="B8" s="24" t="s">
        <v>286</v>
      </c>
      <c r="D8" s="83" t="s">
        <v>287</v>
      </c>
      <c r="E8" s="16" t="s">
        <v>288</v>
      </c>
    </row>
    <row r="9" customFormat="false" ht="27.75" hidden="false" customHeight="true" outlineLevel="0" collapsed="false">
      <c r="A9" s="112" t="s">
        <v>289</v>
      </c>
      <c r="B9" s="112"/>
      <c r="C9" s="112"/>
      <c r="D9" s="112"/>
      <c r="E9" s="112"/>
    </row>
    <row r="11" customFormat="false" ht="25.5" hidden="false" customHeight="true" outlineLevel="0" collapsed="false">
      <c r="A11" s="113" t="s">
        <v>290</v>
      </c>
      <c r="B11" s="113"/>
      <c r="C11" s="113"/>
      <c r="D11" s="113"/>
      <c r="E11" s="113"/>
    </row>
    <row r="12" customFormat="false" ht="19.5" hidden="false" customHeight="true" outlineLevel="0" collapsed="false">
      <c r="A12" s="4" t="s">
        <v>275</v>
      </c>
      <c r="B12" s="114" t="s">
        <v>291</v>
      </c>
    </row>
    <row r="13" customFormat="false" ht="19.5" hidden="false" customHeight="true" outlineLevel="0" collapsed="false">
      <c r="A13" s="84" t="s">
        <v>292</v>
      </c>
      <c r="B13" s="16" t="s">
        <v>293</v>
      </c>
    </row>
    <row r="14" customFormat="false" ht="19.5" hidden="false" customHeight="true" outlineLevel="0" collapsed="false">
      <c r="A14" s="77" t="s">
        <v>294</v>
      </c>
      <c r="B14" s="10" t="s">
        <v>295</v>
      </c>
    </row>
    <row r="15" customFormat="false" ht="19.5" hidden="false" customHeight="true" outlineLevel="0" collapsed="false">
      <c r="A15" s="115" t="s">
        <v>296</v>
      </c>
      <c r="B15" s="116" t="s">
        <v>297</v>
      </c>
    </row>
    <row r="16" customFormat="false" ht="19.5" hidden="false" customHeight="true" outlineLevel="0" collapsed="false">
      <c r="A16" s="77" t="s">
        <v>298</v>
      </c>
      <c r="B16" s="10" t="s">
        <v>299</v>
      </c>
    </row>
    <row r="17" customFormat="false" ht="19.5" hidden="false" customHeight="true" outlineLevel="0" collapsed="false">
      <c r="A17" s="84" t="s">
        <v>300</v>
      </c>
      <c r="B17" s="16" t="s">
        <v>301</v>
      </c>
    </row>
    <row r="18" customFormat="false" ht="19.5" hidden="false" customHeight="true" outlineLevel="0" collapsed="false">
      <c r="A18" s="115" t="s">
        <v>302</v>
      </c>
      <c r="B18" s="116" t="s">
        <v>303</v>
      </c>
    </row>
    <row r="19" customFormat="false" ht="19.5" hidden="false" customHeight="true" outlineLevel="0" collapsed="false">
      <c r="A19" s="84" t="s">
        <v>304</v>
      </c>
      <c r="B19" s="16" t="s">
        <v>305</v>
      </c>
    </row>
    <row r="20" customFormat="false" ht="19.5" hidden="false" customHeight="true" outlineLevel="0" collapsed="false">
      <c r="A20" s="106" t="s">
        <v>306</v>
      </c>
      <c r="B20" s="24" t="s">
        <v>307</v>
      </c>
    </row>
    <row r="21" customFormat="false" ht="19.5" hidden="false" customHeight="true" outlineLevel="0" collapsed="false">
      <c r="A21" s="84" t="s">
        <v>308</v>
      </c>
      <c r="B21" s="16" t="s">
        <v>309</v>
      </c>
    </row>
    <row r="22" customFormat="false" ht="19.5" hidden="false" customHeight="true" outlineLevel="0" collapsed="false">
      <c r="A22" s="106" t="s">
        <v>310</v>
      </c>
      <c r="B22" s="24" t="s">
        <v>311</v>
      </c>
    </row>
    <row r="23" customFormat="false" ht="19.5" hidden="false" customHeight="true" outlineLevel="0" collapsed="false">
      <c r="A23" s="84" t="s">
        <v>312</v>
      </c>
      <c r="B23" s="16" t="s">
        <v>313</v>
      </c>
    </row>
    <row r="24" customFormat="false" ht="19.5" hidden="false" customHeight="true" outlineLevel="0" collapsed="false">
      <c r="A24" s="77" t="s">
        <v>314</v>
      </c>
      <c r="B24" s="10" t="s">
        <v>315</v>
      </c>
    </row>
    <row r="26" customFormat="false" ht="27.75" hidden="false" customHeight="true" outlineLevel="0" collapsed="false">
      <c r="A26" s="117" t="s">
        <v>316</v>
      </c>
      <c r="B26" s="117"/>
      <c r="C26" s="117"/>
      <c r="D26" s="117"/>
      <c r="E26" s="117"/>
      <c r="F26" s="117"/>
      <c r="G26" s="117"/>
      <c r="H26" s="117"/>
      <c r="I26" s="117"/>
      <c r="J26" s="117"/>
      <c r="K26" s="117"/>
    </row>
    <row r="27" customFormat="false" ht="45.75" hidden="false" customHeight="true" outlineLevel="0" collapsed="false">
      <c r="G27" s="118" t="s">
        <v>317</v>
      </c>
      <c r="I27" s="119" t="s">
        <v>318</v>
      </c>
      <c r="J27" s="120" t="s">
        <v>319</v>
      </c>
      <c r="K27" s="121" t="s">
        <v>320</v>
      </c>
    </row>
    <row r="28" customFormat="false" ht="31.5" hidden="false" customHeight="true" outlineLevel="0" collapsed="false">
      <c r="G28" s="122" t="s">
        <v>321</v>
      </c>
      <c r="I28" s="122" t="s">
        <v>322</v>
      </c>
      <c r="J28" s="122" t="s">
        <v>323</v>
      </c>
      <c r="K28" s="123" t="s">
        <v>324</v>
      </c>
    </row>
    <row r="29" customFormat="false" ht="31.5" hidden="false" customHeight="true" outlineLevel="0" collapsed="false">
      <c r="G29" s="122" t="s">
        <v>325</v>
      </c>
      <c r="I29" s="122" t="s">
        <v>326</v>
      </c>
      <c r="J29" s="122" t="s">
        <v>327</v>
      </c>
      <c r="K29" s="123" t="s">
        <v>328</v>
      </c>
    </row>
    <row r="30" customFormat="false" ht="31.5" hidden="false" customHeight="true" outlineLevel="0" collapsed="false">
      <c r="G30" s="122" t="s">
        <v>329</v>
      </c>
      <c r="I30" s="122" t="s">
        <v>330</v>
      </c>
      <c r="J30" s="122" t="s">
        <v>331</v>
      </c>
      <c r="K30" s="123" t="s">
        <v>332</v>
      </c>
    </row>
    <row r="32" customFormat="false" ht="25.5" hidden="false" customHeight="true" outlineLevel="0" collapsed="false">
      <c r="A32" s="124" t="s">
        <v>333</v>
      </c>
      <c r="B32" s="124"/>
      <c r="C32" s="124"/>
      <c r="D32" s="124"/>
      <c r="E32" s="124"/>
      <c r="F32" s="124"/>
      <c r="G32" s="124"/>
      <c r="H32" s="124"/>
      <c r="I32" s="124"/>
      <c r="J32" s="124"/>
      <c r="K32" s="124"/>
    </row>
    <row r="33" customFormat="false" ht="27.75" hidden="false" customHeight="true" outlineLevel="0" collapsed="false">
      <c r="A33" s="125" t="s">
        <v>334</v>
      </c>
      <c r="B33" s="125"/>
      <c r="C33" s="125"/>
      <c r="D33" s="125"/>
      <c r="E33" s="125"/>
      <c r="F33" s="125"/>
      <c r="G33" s="125"/>
      <c r="H33" s="125"/>
      <c r="I33" s="125"/>
      <c r="J33" s="125"/>
      <c r="K33" s="125"/>
    </row>
    <row r="34" customFormat="false" ht="27.75" hidden="false" customHeight="true" outlineLevel="0" collapsed="false">
      <c r="A34" s="126" t="s">
        <v>335</v>
      </c>
      <c r="B34" s="126"/>
      <c r="C34" s="126"/>
      <c r="D34" s="126"/>
      <c r="E34" s="126"/>
      <c r="F34" s="126"/>
      <c r="G34" s="126"/>
      <c r="H34" s="126"/>
      <c r="I34" s="126"/>
      <c r="J34" s="126"/>
      <c r="K34" s="126"/>
    </row>
    <row r="35" customFormat="false" ht="27.75" hidden="false" customHeight="true" outlineLevel="0" collapsed="false">
      <c r="A35" s="125" t="s">
        <v>336</v>
      </c>
      <c r="B35" s="125"/>
      <c r="C35" s="125"/>
      <c r="D35" s="125"/>
      <c r="E35" s="125"/>
      <c r="F35" s="125"/>
      <c r="G35" s="125"/>
      <c r="H35" s="125"/>
      <c r="I35" s="125"/>
      <c r="J35" s="125"/>
      <c r="K35" s="125"/>
    </row>
    <row r="36" customFormat="false" ht="27.75" hidden="false" customHeight="true" outlineLevel="0" collapsed="false">
      <c r="A36" s="126" t="s">
        <v>337</v>
      </c>
      <c r="B36" s="126"/>
      <c r="C36" s="126"/>
      <c r="D36" s="126"/>
      <c r="E36" s="126"/>
      <c r="F36" s="126"/>
      <c r="G36" s="126"/>
      <c r="H36" s="126"/>
      <c r="I36" s="126"/>
      <c r="J36" s="126"/>
      <c r="K36" s="126"/>
    </row>
    <row r="37" customFormat="false" ht="27.75" hidden="false" customHeight="true" outlineLevel="0" collapsed="false">
      <c r="A37" s="125" t="s">
        <v>338</v>
      </c>
      <c r="B37" s="125"/>
      <c r="C37" s="125"/>
      <c r="D37" s="125"/>
      <c r="E37" s="125"/>
      <c r="F37" s="125"/>
      <c r="G37" s="125"/>
      <c r="H37" s="125"/>
      <c r="I37" s="125"/>
      <c r="J37" s="125"/>
      <c r="K37" s="125"/>
    </row>
  </sheetData>
  <mergeCells count="12">
    <mergeCell ref="A1:K1"/>
    <mergeCell ref="A2:K2"/>
    <mergeCell ref="A4:E4"/>
    <mergeCell ref="A9:E9"/>
    <mergeCell ref="A11:E11"/>
    <mergeCell ref="A26:K26"/>
    <mergeCell ref="A32:K32"/>
    <mergeCell ref="A33:K33"/>
    <mergeCell ref="A34:K34"/>
    <mergeCell ref="A35:K35"/>
    <mergeCell ref="A36:K36"/>
    <mergeCell ref="A37:K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4" min="3" style="1" width="8"/>
    <col collapsed="false" customWidth="true" hidden="false" outlineLevel="0" max="5" min="5" style="1" width="5"/>
    <col collapsed="false" customWidth="true" hidden="false" outlineLevel="0" max="7" min="6" style="1" width="22"/>
    <col collapsed="false" customWidth="true" hidden="false" outlineLevel="0" max="8" min="8" style="1" width="8"/>
  </cols>
  <sheetData>
    <row r="1" customFormat="false" ht="36" hidden="false" customHeight="true" outlineLevel="0" collapsed="false">
      <c r="A1" s="109" t="s">
        <v>339</v>
      </c>
      <c r="B1" s="109"/>
      <c r="C1" s="109"/>
      <c r="D1" s="109"/>
      <c r="E1" s="109"/>
      <c r="F1" s="109"/>
      <c r="G1" s="109"/>
      <c r="H1" s="109"/>
    </row>
    <row r="2" customFormat="false" ht="24" hidden="false" customHeight="true" outlineLevel="0" collapsed="false">
      <c r="A2" s="110" t="s">
        <v>340</v>
      </c>
      <c r="B2" s="110"/>
      <c r="C2" s="110"/>
      <c r="D2" s="110"/>
      <c r="E2" s="110"/>
      <c r="F2" s="110"/>
      <c r="G2" s="110"/>
      <c r="H2" s="110"/>
    </row>
    <row r="3" customFormat="false" ht="24" hidden="false" customHeight="true" outlineLevel="0" collapsed="false">
      <c r="A3" s="87" t="s">
        <v>341</v>
      </c>
      <c r="B3" s="87"/>
      <c r="C3" s="87"/>
      <c r="D3" s="87"/>
      <c r="E3" s="87"/>
      <c r="F3" s="87"/>
      <c r="G3" s="87"/>
      <c r="H3" s="87"/>
    </row>
    <row r="4" customFormat="false" ht="30" hidden="false" customHeight="true" outlineLevel="0" collapsed="false">
      <c r="A4" s="66" t="s">
        <v>342</v>
      </c>
      <c r="B4" s="67" t="s">
        <v>343</v>
      </c>
      <c r="C4" s="67" t="s">
        <v>344</v>
      </c>
      <c r="D4" s="67" t="s">
        <v>345</v>
      </c>
      <c r="E4" s="66" t="s">
        <v>5</v>
      </c>
      <c r="F4" s="67" t="s">
        <v>346</v>
      </c>
      <c r="G4" s="68" t="s">
        <v>347</v>
      </c>
      <c r="H4" s="66" t="s">
        <v>348</v>
      </c>
    </row>
    <row r="5" customFormat="false" ht="21.75" hidden="false" customHeight="true" outlineLevel="0" collapsed="false">
      <c r="A5" s="70" t="n">
        <v>1</v>
      </c>
      <c r="B5" s="127" t="s">
        <v>44</v>
      </c>
      <c r="C5" s="72"/>
      <c r="D5" s="72"/>
      <c r="E5" s="73" t="s">
        <v>5</v>
      </c>
      <c r="F5" s="127" t="s">
        <v>18</v>
      </c>
      <c r="G5" s="128"/>
      <c r="H5" s="75" t="str">
        <f aca="false">IF(AND(B5&lt;&gt;"",G5&lt;&gt;""),IF(LOWER(TRIM(B5))=LOWER(TRIM(G5)),2,IF(LOWER(TRIM(F5))=LOWER(TRIM(G5)),2,0)),"")</f>
        <v/>
      </c>
    </row>
    <row r="6" customFormat="false" ht="21.75" hidden="false" customHeight="true" outlineLevel="0" collapsed="false">
      <c r="A6" s="79" t="n">
        <v>2</v>
      </c>
      <c r="B6" s="127" t="s">
        <v>75</v>
      </c>
      <c r="C6" s="72"/>
      <c r="D6" s="72"/>
      <c r="E6" s="81" t="s">
        <v>5</v>
      </c>
      <c r="F6" s="127" t="s">
        <v>25</v>
      </c>
      <c r="G6" s="128"/>
      <c r="H6" s="75" t="str">
        <f aca="false">IF(AND(B6&lt;&gt;"",G6&lt;&gt;""),IF(LOWER(TRIM(B6))=LOWER(TRIM(G6)),2,IF(LOWER(TRIM(F6))=LOWER(TRIM(G6)),2,0)),"")</f>
        <v/>
      </c>
    </row>
    <row r="7" customFormat="false" ht="21.75" hidden="false" customHeight="true" outlineLevel="0" collapsed="false">
      <c r="A7" s="70" t="n">
        <v>3</v>
      </c>
      <c r="B7" s="127" t="s">
        <v>17</v>
      </c>
      <c r="C7" s="72"/>
      <c r="D7" s="72"/>
      <c r="E7" s="73" t="s">
        <v>5</v>
      </c>
      <c r="F7" s="127" t="s">
        <v>20</v>
      </c>
      <c r="G7" s="128"/>
      <c r="H7" s="75" t="str">
        <f aca="false">IF(AND(B7&lt;&gt;"",G7&lt;&gt;""),IF(LOWER(TRIM(B7))=LOWER(TRIM(G7)),2,IF(LOWER(TRIM(F7))=LOWER(TRIM(G7)),2,0)),"")</f>
        <v/>
      </c>
    </row>
    <row r="8" customFormat="false" ht="21.75" hidden="false" customHeight="true" outlineLevel="0" collapsed="false">
      <c r="A8" s="79" t="n">
        <v>4</v>
      </c>
      <c r="B8" s="127" t="s">
        <v>48</v>
      </c>
      <c r="C8" s="72"/>
      <c r="D8" s="72"/>
      <c r="E8" s="81" t="s">
        <v>5</v>
      </c>
      <c r="F8" s="127" t="s">
        <v>38</v>
      </c>
      <c r="G8" s="128"/>
      <c r="H8" s="75" t="str">
        <f aca="false">IF(AND(B8&lt;&gt;"",G8&lt;&gt;""),IF(LOWER(TRIM(B8))=LOWER(TRIM(G8)),2,IF(LOWER(TRIM(F8))=LOWER(TRIM(G8)),2,0)),"")</f>
        <v/>
      </c>
    </row>
    <row r="9" customFormat="false" ht="21.75" hidden="false" customHeight="true" outlineLevel="0" collapsed="false">
      <c r="A9" s="70" t="n">
        <v>5</v>
      </c>
      <c r="B9" s="127" t="s">
        <v>90</v>
      </c>
      <c r="C9" s="72"/>
      <c r="D9" s="72"/>
      <c r="E9" s="73" t="s">
        <v>5</v>
      </c>
      <c r="F9" s="127" t="s">
        <v>85</v>
      </c>
      <c r="G9" s="128"/>
      <c r="H9" s="75" t="str">
        <f aca="false">IF(AND(B9&lt;&gt;"",G9&lt;&gt;""),IF(LOWER(TRIM(B9))=LOWER(TRIM(G9)),2,IF(LOWER(TRIM(F9))=LOWER(TRIM(G9)),2,0)),"")</f>
        <v/>
      </c>
    </row>
    <row r="10" customFormat="false" ht="21.75" hidden="false" customHeight="true" outlineLevel="0" collapsed="false">
      <c r="A10" s="79" t="n">
        <v>6</v>
      </c>
      <c r="B10" s="127" t="s">
        <v>259</v>
      </c>
      <c r="C10" s="72"/>
      <c r="D10" s="72"/>
      <c r="E10" s="81" t="s">
        <v>5</v>
      </c>
      <c r="F10" s="127" t="s">
        <v>72</v>
      </c>
      <c r="G10" s="128"/>
      <c r="H10" s="75" t="str">
        <f aca="false">IF(AND(B10&lt;&gt;"",G10&lt;&gt;""),IF(LOWER(TRIM(B10))=LOWER(TRIM(G10)),2,IF(LOWER(TRIM(F10))=LOWER(TRIM(G10)),2,0)),"")</f>
        <v/>
      </c>
    </row>
    <row r="11" customFormat="false" ht="21.75" hidden="false" customHeight="true" outlineLevel="0" collapsed="false">
      <c r="A11" s="70" t="n">
        <v>7</v>
      </c>
      <c r="B11" s="127" t="s">
        <v>30</v>
      </c>
      <c r="C11" s="72"/>
      <c r="D11" s="72"/>
      <c r="E11" s="73" t="s">
        <v>5</v>
      </c>
      <c r="F11" s="127" t="s">
        <v>21</v>
      </c>
      <c r="G11" s="128"/>
      <c r="H11" s="75" t="str">
        <f aca="false">IF(AND(B11&lt;&gt;"",G11&lt;&gt;""),IF(LOWER(TRIM(B11))=LOWER(TRIM(G11)),2,IF(LOWER(TRIM(F11))=LOWER(TRIM(G11)),2,0)),"")</f>
        <v/>
      </c>
    </row>
    <row r="12" customFormat="false" ht="21.75" hidden="false" customHeight="true" outlineLevel="0" collapsed="false">
      <c r="A12" s="79" t="n">
        <v>8</v>
      </c>
      <c r="B12" s="127" t="s">
        <v>63</v>
      </c>
      <c r="C12" s="72"/>
      <c r="D12" s="72"/>
      <c r="E12" s="81" t="s">
        <v>5</v>
      </c>
      <c r="F12" s="127" t="s">
        <v>53</v>
      </c>
      <c r="G12" s="128"/>
      <c r="H12" s="75" t="str">
        <f aca="false">IF(AND(B12&lt;&gt;"",G12&lt;&gt;""),IF(LOWER(TRIM(B12))=LOWER(TRIM(G12)),2,IF(LOWER(TRIM(F12))=LOWER(TRIM(G12)),2,0)),"")</f>
        <v/>
      </c>
    </row>
    <row r="13" customFormat="false" ht="21.75" hidden="false" customHeight="true" outlineLevel="0" collapsed="false">
      <c r="A13" s="70" t="n">
        <v>9</v>
      </c>
      <c r="B13" s="127" t="s">
        <v>37</v>
      </c>
      <c r="C13" s="72"/>
      <c r="D13" s="72"/>
      <c r="E13" s="73" t="s">
        <v>5</v>
      </c>
      <c r="F13" s="127" t="s">
        <v>49</v>
      </c>
      <c r="G13" s="128"/>
      <c r="H13" s="75" t="str">
        <f aca="false">IF(AND(B13&lt;&gt;"",G13&lt;&gt;""),IF(LOWER(TRIM(B13))=LOWER(TRIM(G13)),2,IF(LOWER(TRIM(F13))=LOWER(TRIM(G13)),2,0)),"")</f>
        <v/>
      </c>
    </row>
    <row r="14" customFormat="false" ht="21.75" hidden="false" customHeight="true" outlineLevel="0" collapsed="false">
      <c r="A14" s="79" t="n">
        <v>10</v>
      </c>
      <c r="B14" s="127" t="s">
        <v>54</v>
      </c>
      <c r="C14" s="72"/>
      <c r="D14" s="72"/>
      <c r="E14" s="81" t="s">
        <v>5</v>
      </c>
      <c r="F14" s="127" t="s">
        <v>79</v>
      </c>
      <c r="G14" s="128"/>
      <c r="H14" s="75" t="str">
        <f aca="false">IF(AND(B14&lt;&gt;"",G14&lt;&gt;""),IF(LOWER(TRIM(B14))=LOWER(TRIM(G14)),2,IF(LOWER(TRIM(F14))=LOWER(TRIM(G14)),2,0)),"")</f>
        <v/>
      </c>
    </row>
    <row r="15" customFormat="false" ht="21.75" hidden="false" customHeight="true" outlineLevel="0" collapsed="false">
      <c r="A15" s="70" t="n">
        <v>11</v>
      </c>
      <c r="B15" s="127" t="s">
        <v>11</v>
      </c>
      <c r="C15" s="72"/>
      <c r="D15" s="72"/>
      <c r="E15" s="73" t="s">
        <v>5</v>
      </c>
      <c r="F15" s="127" t="s">
        <v>57</v>
      </c>
      <c r="G15" s="128"/>
      <c r="H15" s="75" t="str">
        <f aca="false">IF(AND(B15&lt;&gt;"",G15&lt;&gt;""),IF(LOWER(TRIM(B15))=LOWER(TRIM(G15)),2,IF(LOWER(TRIM(F15))=LOWER(TRIM(G15)),2,0)),"")</f>
        <v/>
      </c>
    </row>
    <row r="16" customFormat="false" ht="21.75" hidden="false" customHeight="true" outlineLevel="0" collapsed="false">
      <c r="A16" s="79" t="n">
        <v>12</v>
      </c>
      <c r="B16" s="127" t="s">
        <v>84</v>
      </c>
      <c r="C16" s="72"/>
      <c r="D16" s="72"/>
      <c r="E16" s="81" t="s">
        <v>5</v>
      </c>
      <c r="F16" s="127" t="s">
        <v>81</v>
      </c>
      <c r="G16" s="128"/>
      <c r="H16" s="75" t="str">
        <f aca="false">IF(AND(B16&lt;&gt;"",G16&lt;&gt;""),IF(LOWER(TRIM(B16))=LOWER(TRIM(G16)),2,IF(LOWER(TRIM(F16))=LOWER(TRIM(G16)),2,0)),"")</f>
        <v/>
      </c>
    </row>
    <row r="17" customFormat="false" ht="21.75" hidden="false" customHeight="true" outlineLevel="0" collapsed="false">
      <c r="A17" s="70" t="n">
        <v>13</v>
      </c>
      <c r="B17" s="127" t="s">
        <v>80</v>
      </c>
      <c r="C17" s="72"/>
      <c r="D17" s="72"/>
      <c r="E17" s="73" t="s">
        <v>5</v>
      </c>
      <c r="F17" s="127" t="s">
        <v>68</v>
      </c>
      <c r="G17" s="128"/>
      <c r="H17" s="75" t="str">
        <f aca="false">IF(AND(B17&lt;&gt;"",G17&lt;&gt;""),IF(LOWER(TRIM(B17))=LOWER(TRIM(G17)),2,IF(LOWER(TRIM(F17))=LOWER(TRIM(G17)),2,0)),"")</f>
        <v/>
      </c>
    </row>
    <row r="18" customFormat="false" ht="21.75" hidden="false" customHeight="true" outlineLevel="0" collapsed="false">
      <c r="A18" s="79" t="n">
        <v>14</v>
      </c>
      <c r="B18" s="127" t="s">
        <v>26</v>
      </c>
      <c r="C18" s="72"/>
      <c r="D18" s="72"/>
      <c r="E18" s="81" t="s">
        <v>5</v>
      </c>
      <c r="F18" s="127" t="s">
        <v>64</v>
      </c>
      <c r="G18" s="128"/>
      <c r="H18" s="75" t="str">
        <f aca="false">IF(AND(B18&lt;&gt;"",G18&lt;&gt;""),IF(LOWER(TRIM(B18))=LOWER(TRIM(G18)),2,IF(LOWER(TRIM(F18))=LOWER(TRIM(G18)),2,0)),"")</f>
        <v/>
      </c>
    </row>
    <row r="19" customFormat="false" ht="21.75" hidden="false" customHeight="true" outlineLevel="0" collapsed="false">
      <c r="A19" s="70" t="n">
        <v>15</v>
      </c>
      <c r="B19" s="127" t="s">
        <v>33</v>
      </c>
      <c r="C19" s="72"/>
      <c r="D19" s="72"/>
      <c r="E19" s="73" t="s">
        <v>5</v>
      </c>
      <c r="F19" s="127" t="s">
        <v>76</v>
      </c>
      <c r="G19" s="128"/>
      <c r="H19" s="75" t="str">
        <f aca="false">IF(AND(B19&lt;&gt;"",G19&lt;&gt;""),IF(LOWER(TRIM(B19))=LOWER(TRIM(G19)),2,IF(LOWER(TRIM(F19))=LOWER(TRIM(G19)),2,0)),"")</f>
        <v/>
      </c>
    </row>
    <row r="20" customFormat="false" ht="21.75" hidden="false" customHeight="true" outlineLevel="0" collapsed="false">
      <c r="A20" s="79" t="n">
        <v>16</v>
      </c>
      <c r="B20" s="127" t="s">
        <v>82</v>
      </c>
      <c r="C20" s="72"/>
      <c r="D20" s="72"/>
      <c r="E20" s="81" t="s">
        <v>5</v>
      </c>
      <c r="F20" s="127" t="s">
        <v>88</v>
      </c>
      <c r="G20" s="128"/>
      <c r="H20" s="75" t="str">
        <f aca="false">IF(AND(B20&lt;&gt;"",G20&lt;&gt;""),IF(LOWER(TRIM(B20))=LOWER(TRIM(G20)),2,IF(LOWER(TRIM(F20))=LOWER(TRIM(G20)),2,0)),"")</f>
        <v/>
      </c>
    </row>
    <row r="22" customFormat="false" ht="24" hidden="false" customHeight="true" outlineLevel="0" collapsed="false">
      <c r="A22" s="129" t="s">
        <v>349</v>
      </c>
      <c r="B22" s="129"/>
      <c r="C22" s="129"/>
      <c r="D22" s="129"/>
      <c r="E22" s="129"/>
      <c r="F22" s="129"/>
      <c r="G22" s="129"/>
      <c r="H22" s="129"/>
    </row>
    <row r="23" customFormat="false" ht="30" hidden="false" customHeight="true" outlineLevel="0" collapsed="false">
      <c r="A23" s="66" t="s">
        <v>342</v>
      </c>
      <c r="B23" s="67" t="s">
        <v>343</v>
      </c>
      <c r="C23" s="67" t="s">
        <v>344</v>
      </c>
      <c r="D23" s="67" t="s">
        <v>345</v>
      </c>
      <c r="E23" s="66" t="s">
        <v>5</v>
      </c>
      <c r="F23" s="67" t="s">
        <v>346</v>
      </c>
      <c r="G23" s="68" t="s">
        <v>347</v>
      </c>
      <c r="H23" s="66" t="s">
        <v>348</v>
      </c>
    </row>
    <row r="24" customFormat="false" ht="21.75" hidden="false" customHeight="true" outlineLevel="0" collapsed="false">
      <c r="A24" s="70" t="n">
        <v>1</v>
      </c>
      <c r="B24" s="127" t="s">
        <v>44</v>
      </c>
      <c r="C24" s="72"/>
      <c r="D24" s="72"/>
      <c r="E24" s="73" t="s">
        <v>5</v>
      </c>
      <c r="F24" s="127" t="s">
        <v>75</v>
      </c>
      <c r="G24" s="128"/>
      <c r="H24" s="75" t="str">
        <f aca="false">IF(AND(B24&lt;&gt;"",G24&lt;&gt;""),IF(LOWER(TRIM(B24))=LOWER(TRIM(G24)),3,IF(LOWER(TRIM(F24))=LOWER(TRIM(G24)),3,0)),"")</f>
        <v/>
      </c>
    </row>
    <row r="25" customFormat="false" ht="21.75" hidden="false" customHeight="true" outlineLevel="0" collapsed="false">
      <c r="A25" s="79" t="n">
        <v>2</v>
      </c>
      <c r="B25" s="127" t="s">
        <v>20</v>
      </c>
      <c r="C25" s="72"/>
      <c r="D25" s="72"/>
      <c r="E25" s="81" t="s">
        <v>5</v>
      </c>
      <c r="F25" s="127" t="s">
        <v>38</v>
      </c>
      <c r="G25" s="128"/>
      <c r="H25" s="75" t="str">
        <f aca="false">IF(AND(B25&lt;&gt;"",G25&lt;&gt;""),IF(LOWER(TRIM(B25))=LOWER(TRIM(G25)),3,IF(LOWER(TRIM(F25))=LOWER(TRIM(G25)),3,0)),"")</f>
        <v/>
      </c>
    </row>
    <row r="26" customFormat="false" ht="21.75" hidden="false" customHeight="true" outlineLevel="0" collapsed="false">
      <c r="A26" s="70" t="n">
        <v>3</v>
      </c>
      <c r="B26" s="127" t="s">
        <v>90</v>
      </c>
      <c r="C26" s="72"/>
      <c r="D26" s="72"/>
      <c r="E26" s="73" t="s">
        <v>5</v>
      </c>
      <c r="F26" s="127" t="s">
        <v>259</v>
      </c>
      <c r="G26" s="128"/>
      <c r="H26" s="75" t="str">
        <f aca="false">IF(AND(B26&lt;&gt;"",G26&lt;&gt;""),IF(LOWER(TRIM(B26))=LOWER(TRIM(G26)),3,IF(LOWER(TRIM(F26))=LOWER(TRIM(G26)),3,0)),"")</f>
        <v/>
      </c>
    </row>
    <row r="27" customFormat="false" ht="21.75" hidden="false" customHeight="true" outlineLevel="0" collapsed="false">
      <c r="A27" s="79" t="n">
        <v>4</v>
      </c>
      <c r="B27" s="127" t="s">
        <v>30</v>
      </c>
      <c r="C27" s="72"/>
      <c r="D27" s="72"/>
      <c r="E27" s="81" t="s">
        <v>5</v>
      </c>
      <c r="F27" s="127" t="s">
        <v>63</v>
      </c>
      <c r="G27" s="128"/>
      <c r="H27" s="75" t="str">
        <f aca="false">IF(AND(B27&lt;&gt;"",G27&lt;&gt;""),IF(LOWER(TRIM(B27))=LOWER(TRIM(G27)),3,IF(LOWER(TRIM(F27))=LOWER(TRIM(G27)),3,0)),"")</f>
        <v/>
      </c>
    </row>
    <row r="28" customFormat="false" ht="21.75" hidden="false" customHeight="true" outlineLevel="0" collapsed="false">
      <c r="A28" s="70" t="n">
        <v>5</v>
      </c>
      <c r="B28" s="127" t="s">
        <v>37</v>
      </c>
      <c r="C28" s="72"/>
      <c r="D28" s="72"/>
      <c r="E28" s="73" t="s">
        <v>5</v>
      </c>
      <c r="F28" s="127" t="s">
        <v>54</v>
      </c>
      <c r="G28" s="128"/>
      <c r="H28" s="75" t="str">
        <f aca="false">IF(AND(B28&lt;&gt;"",G28&lt;&gt;""),IF(LOWER(TRIM(B28))=LOWER(TRIM(G28)),3,IF(LOWER(TRIM(F28))=LOWER(TRIM(G28)),3,0)),"")</f>
        <v/>
      </c>
    </row>
    <row r="29" customFormat="false" ht="21.75" hidden="false" customHeight="true" outlineLevel="0" collapsed="false">
      <c r="A29" s="79" t="n">
        <v>6</v>
      </c>
      <c r="B29" s="127" t="s">
        <v>57</v>
      </c>
      <c r="C29" s="72"/>
      <c r="D29" s="72"/>
      <c r="E29" s="81" t="s">
        <v>5</v>
      </c>
      <c r="F29" s="127" t="s">
        <v>84</v>
      </c>
      <c r="G29" s="128"/>
      <c r="H29" s="75" t="str">
        <f aca="false">IF(AND(B29&lt;&gt;"",G29&lt;&gt;""),IF(LOWER(TRIM(B29))=LOWER(TRIM(G29)),3,IF(LOWER(TRIM(F29))=LOWER(TRIM(G29)),3,0)),"")</f>
        <v/>
      </c>
    </row>
    <row r="30" customFormat="false" ht="21.75" hidden="false" customHeight="true" outlineLevel="0" collapsed="false">
      <c r="A30" s="70" t="n">
        <v>7</v>
      </c>
      <c r="B30" s="127" t="s">
        <v>80</v>
      </c>
      <c r="C30" s="72"/>
      <c r="D30" s="72"/>
      <c r="E30" s="73" t="s">
        <v>5</v>
      </c>
      <c r="F30" s="127" t="s">
        <v>26</v>
      </c>
      <c r="G30" s="128"/>
      <c r="H30" s="75" t="str">
        <f aca="false">IF(AND(B30&lt;&gt;"",G30&lt;&gt;""),IF(LOWER(TRIM(B30))=LOWER(TRIM(G30)),3,IF(LOWER(TRIM(F30))=LOWER(TRIM(G30)),3,0)),"")</f>
        <v/>
      </c>
    </row>
    <row r="31" customFormat="false" ht="21.75" hidden="false" customHeight="true" outlineLevel="0" collapsed="false">
      <c r="A31" s="79" t="n">
        <v>8</v>
      </c>
      <c r="B31" s="127" t="s">
        <v>76</v>
      </c>
      <c r="C31" s="72"/>
      <c r="D31" s="72"/>
      <c r="E31" s="81" t="s">
        <v>5</v>
      </c>
      <c r="F31" s="127" t="s">
        <v>82</v>
      </c>
      <c r="G31" s="128"/>
      <c r="H31" s="75" t="str">
        <f aca="false">IF(AND(B31&lt;&gt;"",G31&lt;&gt;""),IF(LOWER(TRIM(B31))=LOWER(TRIM(G31)),3,IF(LOWER(TRIM(F31))=LOWER(TRIM(G31)),3,0)),"")</f>
        <v/>
      </c>
    </row>
    <row r="33" customFormat="false" ht="24" hidden="false" customHeight="true" outlineLevel="0" collapsed="false">
      <c r="A33" s="130" t="s">
        <v>350</v>
      </c>
      <c r="B33" s="130"/>
      <c r="C33" s="130"/>
      <c r="D33" s="130"/>
      <c r="E33" s="130"/>
      <c r="F33" s="130"/>
      <c r="G33" s="130"/>
      <c r="H33" s="130"/>
    </row>
    <row r="34" customFormat="false" ht="30" hidden="false" customHeight="true" outlineLevel="0" collapsed="false">
      <c r="A34" s="66" t="s">
        <v>342</v>
      </c>
      <c r="B34" s="67" t="s">
        <v>343</v>
      </c>
      <c r="C34" s="67" t="s">
        <v>344</v>
      </c>
      <c r="D34" s="67" t="s">
        <v>345</v>
      </c>
      <c r="E34" s="66" t="s">
        <v>5</v>
      </c>
      <c r="F34" s="67" t="s">
        <v>346</v>
      </c>
      <c r="G34" s="68" t="s">
        <v>347</v>
      </c>
      <c r="H34" s="66" t="s">
        <v>348</v>
      </c>
    </row>
    <row r="35" customFormat="false" ht="21.75" hidden="false" customHeight="true" outlineLevel="0" collapsed="false">
      <c r="A35" s="70" t="n">
        <v>1</v>
      </c>
      <c r="B35" s="127" t="s">
        <v>75</v>
      </c>
      <c r="C35" s="72"/>
      <c r="D35" s="72"/>
      <c r="E35" s="73" t="s">
        <v>5</v>
      </c>
      <c r="F35" s="127" t="s">
        <v>38</v>
      </c>
      <c r="G35" s="128"/>
      <c r="H35" s="75" t="str">
        <f aca="false">IF(AND(B35&lt;&gt;"",G35&lt;&gt;""),IF(LOWER(TRIM(B35))=LOWER(TRIM(G35)),4,IF(LOWER(TRIM(F35))=LOWER(TRIM(G35)),4,0)),"")</f>
        <v/>
      </c>
    </row>
    <row r="36" customFormat="false" ht="21.75" hidden="false" customHeight="true" outlineLevel="0" collapsed="false">
      <c r="A36" s="79" t="n">
        <v>2</v>
      </c>
      <c r="B36" s="127" t="s">
        <v>259</v>
      </c>
      <c r="C36" s="72"/>
      <c r="D36" s="72"/>
      <c r="E36" s="81" t="s">
        <v>5</v>
      </c>
      <c r="F36" s="127" t="s">
        <v>63</v>
      </c>
      <c r="G36" s="128"/>
      <c r="H36" s="75" t="str">
        <f aca="false">IF(AND(B36&lt;&gt;"",G36&lt;&gt;""),IF(LOWER(TRIM(B36))=LOWER(TRIM(G36)),4,IF(LOWER(TRIM(F36))=LOWER(TRIM(G36)),4,0)),"")</f>
        <v/>
      </c>
    </row>
    <row r="37" customFormat="false" ht="21.75" hidden="false" customHeight="true" outlineLevel="0" collapsed="false">
      <c r="A37" s="70" t="n">
        <v>3</v>
      </c>
      <c r="B37" s="127" t="s">
        <v>54</v>
      </c>
      <c r="C37" s="72"/>
      <c r="D37" s="72"/>
      <c r="E37" s="73" t="s">
        <v>5</v>
      </c>
      <c r="F37" s="127" t="s">
        <v>84</v>
      </c>
      <c r="G37" s="128"/>
      <c r="H37" s="75" t="str">
        <f aca="false">IF(AND(B37&lt;&gt;"",G37&lt;&gt;""),IF(LOWER(TRIM(B37))=LOWER(TRIM(G37)),4,IF(LOWER(TRIM(F37))=LOWER(TRIM(G37)),4,0)),"")</f>
        <v/>
      </c>
    </row>
    <row r="38" customFormat="false" ht="21.75" hidden="false" customHeight="true" outlineLevel="0" collapsed="false">
      <c r="A38" s="79" t="n">
        <v>4</v>
      </c>
      <c r="B38" s="127" t="s">
        <v>80</v>
      </c>
      <c r="C38" s="72"/>
      <c r="D38" s="72"/>
      <c r="E38" s="81" t="s">
        <v>5</v>
      </c>
      <c r="F38" s="127" t="s">
        <v>82</v>
      </c>
      <c r="G38" s="128"/>
      <c r="H38" s="75" t="str">
        <f aca="false">IF(AND(B38&lt;&gt;"",G38&lt;&gt;""),IF(LOWER(TRIM(B38))=LOWER(TRIM(G38)),4,IF(LOWER(TRIM(F38))=LOWER(TRIM(G38)),4,0)),"")</f>
        <v/>
      </c>
    </row>
    <row r="40" customFormat="false" ht="24" hidden="false" customHeight="true" outlineLevel="0" collapsed="false">
      <c r="A40" s="95" t="s">
        <v>351</v>
      </c>
      <c r="B40" s="95"/>
      <c r="C40" s="95"/>
      <c r="D40" s="95"/>
      <c r="E40" s="95"/>
      <c r="F40" s="95"/>
      <c r="G40" s="95"/>
      <c r="H40" s="95"/>
    </row>
    <row r="41" customFormat="false" ht="30" hidden="false" customHeight="true" outlineLevel="0" collapsed="false">
      <c r="A41" s="66" t="s">
        <v>342</v>
      </c>
      <c r="B41" s="67" t="s">
        <v>343</v>
      </c>
      <c r="C41" s="67" t="s">
        <v>344</v>
      </c>
      <c r="D41" s="67" t="s">
        <v>345</v>
      </c>
      <c r="E41" s="66" t="s">
        <v>5</v>
      </c>
      <c r="F41" s="67" t="s">
        <v>346</v>
      </c>
      <c r="G41" s="68" t="s">
        <v>347</v>
      </c>
      <c r="H41" s="66" t="s">
        <v>348</v>
      </c>
    </row>
    <row r="42" customFormat="false" ht="21.75" hidden="false" customHeight="true" outlineLevel="0" collapsed="false">
      <c r="A42" s="70" t="n">
        <v>1</v>
      </c>
      <c r="B42" s="127" t="s">
        <v>75</v>
      </c>
      <c r="C42" s="72"/>
      <c r="D42" s="72"/>
      <c r="E42" s="73" t="s">
        <v>5</v>
      </c>
      <c r="F42" s="127" t="s">
        <v>259</v>
      </c>
      <c r="G42" s="128"/>
      <c r="H42" s="75" t="str">
        <f aca="false">IF(AND(B42&lt;&gt;"",G42&lt;&gt;""),IF(LOWER(TRIM(B42))=LOWER(TRIM(G42)),5,IF(LOWER(TRIM(F42))=LOWER(TRIM(G42)),5,0)),"")</f>
        <v/>
      </c>
    </row>
    <row r="43" customFormat="false" ht="21.75" hidden="false" customHeight="true" outlineLevel="0" collapsed="false">
      <c r="A43" s="79" t="n">
        <v>2</v>
      </c>
      <c r="B43" s="127" t="s">
        <v>84</v>
      </c>
      <c r="C43" s="72"/>
      <c r="D43" s="72"/>
      <c r="E43" s="81" t="s">
        <v>5</v>
      </c>
      <c r="F43" s="127" t="s">
        <v>82</v>
      </c>
      <c r="G43" s="128"/>
      <c r="H43" s="75" t="str">
        <f aca="false">IF(AND(B43&lt;&gt;"",G43&lt;&gt;""),IF(LOWER(TRIM(B43))=LOWER(TRIM(G43)),5,IF(LOWER(TRIM(F43))=LOWER(TRIM(G43)),5,0)),"")</f>
        <v/>
      </c>
    </row>
    <row r="45" customFormat="false" ht="24" hidden="false" customHeight="true" outlineLevel="0" collapsed="false">
      <c r="A45" s="131" t="s">
        <v>352</v>
      </c>
      <c r="B45" s="131"/>
      <c r="C45" s="131"/>
      <c r="D45" s="131"/>
      <c r="E45" s="131"/>
      <c r="F45" s="131"/>
      <c r="G45" s="131"/>
      <c r="H45" s="131"/>
    </row>
    <row r="46" customFormat="false" ht="30" hidden="false" customHeight="true" outlineLevel="0" collapsed="false">
      <c r="A46" s="66" t="s">
        <v>342</v>
      </c>
      <c r="B46" s="67" t="s">
        <v>343</v>
      </c>
      <c r="C46" s="67" t="s">
        <v>344</v>
      </c>
      <c r="D46" s="67" t="s">
        <v>345</v>
      </c>
      <c r="E46" s="66" t="s">
        <v>5</v>
      </c>
      <c r="F46" s="67" t="s">
        <v>346</v>
      </c>
      <c r="G46" s="68" t="s">
        <v>347</v>
      </c>
      <c r="H46" s="66" t="s">
        <v>348</v>
      </c>
    </row>
    <row r="47" customFormat="false" ht="21.75" hidden="false" customHeight="true" outlineLevel="0" collapsed="false">
      <c r="A47" s="70" t="n">
        <v>1</v>
      </c>
      <c r="B47" s="127" t="s">
        <v>75</v>
      </c>
      <c r="C47" s="72"/>
      <c r="D47" s="72"/>
      <c r="E47" s="73" t="s">
        <v>5</v>
      </c>
      <c r="F47" s="127" t="s">
        <v>84</v>
      </c>
      <c r="G47" s="128"/>
      <c r="H47" s="75" t="str">
        <f aca="false">IF(AND(B47&lt;&gt;"",G47&lt;&gt;""),IF(LOWER(TRIM(B47))=LOWER(TRIM(G47)),6,IF(LOWER(TRIM(F47))=LOWER(TRIM(G47)),6,0)),"")</f>
        <v/>
      </c>
    </row>
    <row r="49" customFormat="false" ht="24" hidden="false" customHeight="true" outlineLevel="0" collapsed="false">
      <c r="A49" s="46" t="s">
        <v>353</v>
      </c>
      <c r="B49" s="46"/>
      <c r="C49" s="46"/>
      <c r="D49" s="46"/>
      <c r="E49" s="46"/>
      <c r="F49" s="46"/>
      <c r="G49" s="46"/>
      <c r="H49" s="46"/>
    </row>
    <row r="50" customFormat="false" ht="30" hidden="false" customHeight="true" outlineLevel="0" collapsed="false">
      <c r="A50" s="66" t="s">
        <v>342</v>
      </c>
      <c r="B50" s="67" t="s">
        <v>343</v>
      </c>
      <c r="C50" s="67" t="s">
        <v>344</v>
      </c>
      <c r="D50" s="67" t="s">
        <v>345</v>
      </c>
      <c r="E50" s="66" t="s">
        <v>5</v>
      </c>
      <c r="F50" s="67" t="s">
        <v>346</v>
      </c>
      <c r="G50" s="68" t="s">
        <v>347</v>
      </c>
      <c r="H50" s="66" t="s">
        <v>348</v>
      </c>
    </row>
    <row r="51" customFormat="false" ht="21.75" hidden="false" customHeight="true" outlineLevel="0" collapsed="false">
      <c r="A51" s="70" t="n">
        <v>1</v>
      </c>
      <c r="B51" s="127" t="s">
        <v>259</v>
      </c>
      <c r="C51" s="72"/>
      <c r="D51" s="72"/>
      <c r="E51" s="73" t="s">
        <v>5</v>
      </c>
      <c r="F51" s="127" t="s">
        <v>82</v>
      </c>
      <c r="G51" s="128"/>
      <c r="H51" s="75"/>
    </row>
    <row r="53" customFormat="false" ht="25.5" hidden="false" customHeight="true" outlineLevel="0" collapsed="false">
      <c r="A53" s="132" t="s">
        <v>354</v>
      </c>
      <c r="B53" s="132"/>
      <c r="C53" s="132"/>
      <c r="D53" s="132"/>
      <c r="E53" s="132"/>
      <c r="F53" s="132"/>
      <c r="G53" s="132"/>
      <c r="H53" s="132"/>
    </row>
    <row r="54" customFormat="false" ht="27.75" hidden="false" customHeight="true" outlineLevel="0" collapsed="false">
      <c r="A54" s="133"/>
      <c r="B54" s="134" t="s">
        <v>355</v>
      </c>
      <c r="C54" s="133"/>
      <c r="D54" s="133"/>
      <c r="E54" s="133"/>
      <c r="F54" s="133"/>
      <c r="G54" s="135" t="s">
        <v>356</v>
      </c>
      <c r="H54" s="133" t="s">
        <v>226</v>
      </c>
    </row>
    <row r="55" customFormat="false" ht="24" hidden="false" customHeight="true" outlineLevel="0" collapsed="false">
      <c r="A55" s="136" t="s">
        <v>357</v>
      </c>
      <c r="B55" s="92" t="s">
        <v>358</v>
      </c>
      <c r="C55" s="92"/>
      <c r="D55" s="92"/>
      <c r="E55" s="92"/>
      <c r="F55" s="92"/>
      <c r="G55" s="75"/>
      <c r="H55" s="75" t="str">
        <f aca="false">IF(AND(B55&lt;&gt;"",G55&lt;&gt;""),IF(LOWER(TRIM(B55))=LOWER(TRIM(G55)),5,0),"")</f>
        <v/>
      </c>
    </row>
    <row r="57" customFormat="false" ht="25.5" hidden="false" customHeight="true" outlineLevel="0" collapsed="false">
      <c r="A57" s="97" t="s">
        <v>359</v>
      </c>
      <c r="B57" s="97"/>
      <c r="C57" s="97"/>
      <c r="D57" s="97"/>
      <c r="E57" s="97"/>
      <c r="F57" s="97"/>
      <c r="G57" s="97"/>
      <c r="H57" s="137" t="n">
        <f aca="false">IFERROR(SUM(H4:H55),0)</f>
        <v>0</v>
      </c>
    </row>
  </sheetData>
  <mergeCells count="11">
    <mergeCell ref="A1:H1"/>
    <mergeCell ref="A2:H2"/>
    <mergeCell ref="A3:H3"/>
    <mergeCell ref="A22:H22"/>
    <mergeCell ref="A33:H33"/>
    <mergeCell ref="A40:H40"/>
    <mergeCell ref="A45:H45"/>
    <mergeCell ref="A49:H49"/>
    <mergeCell ref="A53:H53"/>
    <mergeCell ref="B55:F55"/>
    <mergeCell ref="A57:G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7" min="3" style="1" width="14"/>
  </cols>
  <sheetData>
    <row r="1" customFormat="false" ht="36" hidden="false" customHeight="true" outlineLevel="0" collapsed="false">
      <c r="A1" s="109" t="s">
        <v>360</v>
      </c>
      <c r="B1" s="109"/>
      <c r="C1" s="109"/>
      <c r="D1" s="109"/>
      <c r="E1" s="109"/>
      <c r="F1" s="109"/>
      <c r="G1" s="109"/>
    </row>
    <row r="2" customFormat="false" ht="30" hidden="false" customHeight="true" outlineLevel="0" collapsed="false">
      <c r="A2" s="110" t="s">
        <v>361</v>
      </c>
      <c r="B2" s="110"/>
      <c r="C2" s="110"/>
      <c r="D2" s="110"/>
      <c r="E2" s="110"/>
      <c r="F2" s="110"/>
      <c r="G2" s="110"/>
    </row>
    <row r="3" customFormat="false" ht="24" hidden="false" customHeight="true" outlineLevel="0" collapsed="false">
      <c r="A3" s="138" t="s">
        <v>362</v>
      </c>
      <c r="B3" s="138" t="s">
        <v>363</v>
      </c>
      <c r="C3" s="138" t="s">
        <v>364</v>
      </c>
      <c r="D3" s="138" t="s">
        <v>365</v>
      </c>
      <c r="E3" s="138" t="s">
        <v>366</v>
      </c>
      <c r="F3" s="138" t="s">
        <v>367</v>
      </c>
      <c r="G3" s="138" t="s">
        <v>368</v>
      </c>
    </row>
    <row r="4" customFormat="false" ht="21.75" hidden="false" customHeight="true" outlineLevel="0" collapsed="false">
      <c r="A4" s="139" t="n">
        <v>1</v>
      </c>
      <c r="B4" s="127"/>
      <c r="C4" s="140" t="n">
        <v>0</v>
      </c>
      <c r="D4" s="140" t="n">
        <v>0</v>
      </c>
      <c r="E4" s="140" t="n">
        <v>0</v>
      </c>
      <c r="F4" s="141" t="n">
        <f aca="false">C4+D4+E4</f>
        <v>0</v>
      </c>
      <c r="G4" s="142" t="n">
        <f aca="false">IFERROR(RANK(F4,F4:F23,0),"-")</f>
        <v>1</v>
      </c>
    </row>
    <row r="5" customFormat="false" ht="21.75" hidden="false" customHeight="true" outlineLevel="0" collapsed="false">
      <c r="A5" s="143" t="n">
        <v>2</v>
      </c>
      <c r="B5" s="127"/>
      <c r="C5" s="140" t="n">
        <v>0</v>
      </c>
      <c r="D5" s="140" t="n">
        <v>0</v>
      </c>
      <c r="E5" s="140" t="n">
        <v>0</v>
      </c>
      <c r="F5" s="141" t="n">
        <f aca="false">C5+D5+E5</f>
        <v>0</v>
      </c>
      <c r="G5" s="144" t="n">
        <f aca="false">IFERROR(RANK(F5,F4:F23,0),"-")</f>
        <v>1</v>
      </c>
    </row>
    <row r="6" customFormat="false" ht="21.75" hidden="false" customHeight="true" outlineLevel="0" collapsed="false">
      <c r="A6" s="139" t="n">
        <v>3</v>
      </c>
      <c r="B6" s="127"/>
      <c r="C6" s="140" t="n">
        <v>0</v>
      </c>
      <c r="D6" s="140" t="n">
        <v>0</v>
      </c>
      <c r="E6" s="140" t="n">
        <v>0</v>
      </c>
      <c r="F6" s="141" t="n">
        <f aca="false">C6+D6+E6</f>
        <v>0</v>
      </c>
      <c r="G6" s="142" t="n">
        <f aca="false">IFERROR(RANK(F6,F4:F23,0),"-")</f>
        <v>1</v>
      </c>
    </row>
    <row r="7" customFormat="false" ht="21.75" hidden="false" customHeight="true" outlineLevel="0" collapsed="false">
      <c r="A7" s="143" t="n">
        <v>4</v>
      </c>
      <c r="B7" s="127"/>
      <c r="C7" s="140" t="n">
        <v>0</v>
      </c>
      <c r="D7" s="140" t="n">
        <v>0</v>
      </c>
      <c r="E7" s="140" t="n">
        <v>0</v>
      </c>
      <c r="F7" s="141" t="n">
        <f aca="false">C7+D7+E7</f>
        <v>0</v>
      </c>
      <c r="G7" s="144" t="n">
        <f aca="false">IFERROR(RANK(F7,F4:F23,0),"-")</f>
        <v>1</v>
      </c>
    </row>
    <row r="8" customFormat="false" ht="21.75" hidden="false" customHeight="true" outlineLevel="0" collapsed="false">
      <c r="A8" s="139" t="n">
        <v>5</v>
      </c>
      <c r="B8" s="127"/>
      <c r="C8" s="140" t="n">
        <v>0</v>
      </c>
      <c r="D8" s="140" t="n">
        <v>0</v>
      </c>
      <c r="E8" s="140" t="n">
        <v>0</v>
      </c>
      <c r="F8" s="141" t="n">
        <f aca="false">C8+D8+E8</f>
        <v>0</v>
      </c>
      <c r="G8" s="142" t="n">
        <f aca="false">IFERROR(RANK(F8,F4:F23,0),"-")</f>
        <v>1</v>
      </c>
    </row>
    <row r="9" customFormat="false" ht="21.75" hidden="false" customHeight="true" outlineLevel="0" collapsed="false">
      <c r="A9" s="143" t="n">
        <v>6</v>
      </c>
      <c r="B9" s="127"/>
      <c r="C9" s="140" t="n">
        <v>0</v>
      </c>
      <c r="D9" s="140" t="n">
        <v>0</v>
      </c>
      <c r="E9" s="140" t="n">
        <v>0</v>
      </c>
      <c r="F9" s="141" t="n">
        <f aca="false">C9+D9+E9</f>
        <v>0</v>
      </c>
      <c r="G9" s="144" t="n">
        <f aca="false">IFERROR(RANK(F9,F4:F23,0),"-")</f>
        <v>1</v>
      </c>
    </row>
    <row r="10" customFormat="false" ht="21.75" hidden="false" customHeight="true" outlineLevel="0" collapsed="false">
      <c r="A10" s="139" t="n">
        <v>7</v>
      </c>
      <c r="B10" s="127"/>
      <c r="C10" s="140" t="n">
        <v>0</v>
      </c>
      <c r="D10" s="140" t="n">
        <v>0</v>
      </c>
      <c r="E10" s="140" t="n">
        <v>0</v>
      </c>
      <c r="F10" s="141" t="n">
        <f aca="false">C10+D10+E10</f>
        <v>0</v>
      </c>
      <c r="G10" s="142" t="n">
        <f aca="false">IFERROR(RANK(F10,F4:F23,0),"-")</f>
        <v>1</v>
      </c>
    </row>
    <row r="11" customFormat="false" ht="21.75" hidden="false" customHeight="true" outlineLevel="0" collapsed="false">
      <c r="A11" s="143" t="n">
        <v>8</v>
      </c>
      <c r="B11" s="127"/>
      <c r="C11" s="140" t="n">
        <v>0</v>
      </c>
      <c r="D11" s="140" t="n">
        <v>0</v>
      </c>
      <c r="E11" s="140" t="n">
        <v>0</v>
      </c>
      <c r="F11" s="141" t="n">
        <f aca="false">C11+D11+E11</f>
        <v>0</v>
      </c>
      <c r="G11" s="144" t="n">
        <f aca="false">IFERROR(RANK(F11,F4:F23,0),"-")</f>
        <v>1</v>
      </c>
    </row>
    <row r="12" customFormat="false" ht="21.75" hidden="false" customHeight="true" outlineLevel="0" collapsed="false">
      <c r="A12" s="139" t="n">
        <v>9</v>
      </c>
      <c r="B12" s="127"/>
      <c r="C12" s="140" t="n">
        <v>0</v>
      </c>
      <c r="D12" s="140" t="n">
        <v>0</v>
      </c>
      <c r="E12" s="140" t="n">
        <v>0</v>
      </c>
      <c r="F12" s="141" t="n">
        <f aca="false">C12+D12+E12</f>
        <v>0</v>
      </c>
      <c r="G12" s="142" t="n">
        <f aca="false">IFERROR(RANK(F12,F4:F23,0),"-")</f>
        <v>1</v>
      </c>
    </row>
    <row r="13" customFormat="false" ht="21.75" hidden="false" customHeight="true" outlineLevel="0" collapsed="false">
      <c r="A13" s="143" t="n">
        <v>10</v>
      </c>
      <c r="B13" s="127"/>
      <c r="C13" s="140" t="n">
        <v>0</v>
      </c>
      <c r="D13" s="140" t="n">
        <v>0</v>
      </c>
      <c r="E13" s="140" t="n">
        <v>0</v>
      </c>
      <c r="F13" s="141" t="n">
        <f aca="false">C13+D13+E13</f>
        <v>0</v>
      </c>
      <c r="G13" s="144" t="n">
        <f aca="false">IFERROR(RANK(F13,F4:F23,0),"-")</f>
        <v>1</v>
      </c>
    </row>
    <row r="14" customFormat="false" ht="21.75" hidden="false" customHeight="true" outlineLevel="0" collapsed="false">
      <c r="A14" s="139" t="n">
        <v>11</v>
      </c>
      <c r="B14" s="127"/>
      <c r="C14" s="140" t="n">
        <v>0</v>
      </c>
      <c r="D14" s="140" t="n">
        <v>0</v>
      </c>
      <c r="E14" s="140" t="n">
        <v>0</v>
      </c>
      <c r="F14" s="141" t="n">
        <f aca="false">C14+D14+E14</f>
        <v>0</v>
      </c>
      <c r="G14" s="142" t="n">
        <f aca="false">IFERROR(RANK(F14,F4:F23,0),"-")</f>
        <v>1</v>
      </c>
    </row>
    <row r="15" customFormat="false" ht="21.75" hidden="false" customHeight="true" outlineLevel="0" collapsed="false">
      <c r="A15" s="143" t="n">
        <v>12</v>
      </c>
      <c r="B15" s="127"/>
      <c r="C15" s="140" t="n">
        <v>0</v>
      </c>
      <c r="D15" s="140" t="n">
        <v>0</v>
      </c>
      <c r="E15" s="140" t="n">
        <v>0</v>
      </c>
      <c r="F15" s="141" t="n">
        <f aca="false">C15+D15+E15</f>
        <v>0</v>
      </c>
      <c r="G15" s="144" t="n">
        <f aca="false">IFERROR(RANK(F15,F4:F23,0),"-")</f>
        <v>1</v>
      </c>
    </row>
    <row r="16" customFormat="false" ht="21.75" hidden="false" customHeight="true" outlineLevel="0" collapsed="false">
      <c r="A16" s="139" t="n">
        <v>13</v>
      </c>
      <c r="B16" s="127"/>
      <c r="C16" s="140" t="n">
        <v>0</v>
      </c>
      <c r="D16" s="140" t="n">
        <v>0</v>
      </c>
      <c r="E16" s="140" t="n">
        <v>0</v>
      </c>
      <c r="F16" s="141" t="n">
        <f aca="false">C16+D16+E16</f>
        <v>0</v>
      </c>
      <c r="G16" s="142" t="n">
        <f aca="false">IFERROR(RANK(F16,F4:F23,0),"-")</f>
        <v>1</v>
      </c>
    </row>
    <row r="17" customFormat="false" ht="21.75" hidden="false" customHeight="true" outlineLevel="0" collapsed="false">
      <c r="A17" s="143" t="n">
        <v>14</v>
      </c>
      <c r="B17" s="127"/>
      <c r="C17" s="140" t="n">
        <v>0</v>
      </c>
      <c r="D17" s="140" t="n">
        <v>0</v>
      </c>
      <c r="E17" s="140" t="n">
        <v>0</v>
      </c>
      <c r="F17" s="141" t="n">
        <f aca="false">C17+D17+E17</f>
        <v>0</v>
      </c>
      <c r="G17" s="144" t="n">
        <f aca="false">IFERROR(RANK(F17,F4:F23,0),"-")</f>
        <v>1</v>
      </c>
    </row>
    <row r="18" customFormat="false" ht="21.75" hidden="false" customHeight="true" outlineLevel="0" collapsed="false">
      <c r="A18" s="139" t="n">
        <v>15</v>
      </c>
      <c r="B18" s="127"/>
      <c r="C18" s="140" t="n">
        <v>0</v>
      </c>
      <c r="D18" s="140" t="n">
        <v>0</v>
      </c>
      <c r="E18" s="140" t="n">
        <v>0</v>
      </c>
      <c r="F18" s="141" t="n">
        <f aca="false">C18+D18+E18</f>
        <v>0</v>
      </c>
      <c r="G18" s="142" t="n">
        <f aca="false">IFERROR(RANK(F18,F4:F23,0),"-")</f>
        <v>1</v>
      </c>
    </row>
    <row r="19" customFormat="false" ht="21.75" hidden="false" customHeight="true" outlineLevel="0" collapsed="false">
      <c r="A19" s="143" t="n">
        <v>16</v>
      </c>
      <c r="B19" s="127"/>
      <c r="C19" s="140" t="n">
        <v>0</v>
      </c>
      <c r="D19" s="140" t="n">
        <v>0</v>
      </c>
      <c r="E19" s="140" t="n">
        <v>0</v>
      </c>
      <c r="F19" s="141" t="n">
        <f aca="false">C19+D19+E19</f>
        <v>0</v>
      </c>
      <c r="G19" s="144" t="n">
        <f aca="false">IFERROR(RANK(F19,F4:F23,0),"-")</f>
        <v>1</v>
      </c>
    </row>
    <row r="20" customFormat="false" ht="21.75" hidden="false" customHeight="true" outlineLevel="0" collapsed="false">
      <c r="A20" s="139" t="n">
        <v>17</v>
      </c>
      <c r="B20" s="127"/>
      <c r="C20" s="140" t="n">
        <v>0</v>
      </c>
      <c r="D20" s="140" t="n">
        <v>0</v>
      </c>
      <c r="E20" s="140" t="n">
        <v>0</v>
      </c>
      <c r="F20" s="141" t="n">
        <f aca="false">C20+D20+E20</f>
        <v>0</v>
      </c>
      <c r="G20" s="142" t="n">
        <f aca="false">IFERROR(RANK(F20,F4:F23,0),"-")</f>
        <v>1</v>
      </c>
    </row>
    <row r="21" customFormat="false" ht="21.75" hidden="false" customHeight="true" outlineLevel="0" collapsed="false">
      <c r="A21" s="143" t="n">
        <v>18</v>
      </c>
      <c r="B21" s="127"/>
      <c r="C21" s="140" t="n">
        <v>0</v>
      </c>
      <c r="D21" s="140" t="n">
        <v>0</v>
      </c>
      <c r="E21" s="140" t="n">
        <v>0</v>
      </c>
      <c r="F21" s="141" t="n">
        <f aca="false">C21+D21+E21</f>
        <v>0</v>
      </c>
      <c r="G21" s="144" t="n">
        <f aca="false">IFERROR(RANK(F21,F4:F23,0),"-")</f>
        <v>1</v>
      </c>
    </row>
    <row r="22" customFormat="false" ht="21.75" hidden="false" customHeight="true" outlineLevel="0" collapsed="false">
      <c r="A22" s="139" t="n">
        <v>19</v>
      </c>
      <c r="B22" s="127"/>
      <c r="C22" s="140" t="n">
        <v>0</v>
      </c>
      <c r="D22" s="140" t="n">
        <v>0</v>
      </c>
      <c r="E22" s="140" t="n">
        <v>0</v>
      </c>
      <c r="F22" s="141" t="n">
        <f aca="false">C22+D22+E22</f>
        <v>0</v>
      </c>
      <c r="G22" s="142" t="n">
        <f aca="false">IFERROR(RANK(F22,F4:F23,0),"-")</f>
        <v>1</v>
      </c>
    </row>
    <row r="23" customFormat="false" ht="21.75" hidden="false" customHeight="true" outlineLevel="0" collapsed="false">
      <c r="A23" s="143" t="n">
        <v>20</v>
      </c>
      <c r="B23" s="127"/>
      <c r="C23" s="140" t="n">
        <v>0</v>
      </c>
      <c r="D23" s="140" t="n">
        <v>0</v>
      </c>
      <c r="E23" s="140" t="n">
        <v>0</v>
      </c>
      <c r="F23" s="141" t="n">
        <f aca="false">C23+D23+E23</f>
        <v>0</v>
      </c>
      <c r="G23" s="144" t="n">
        <f aca="false">IFERROR(RANK(F23,F4:F23,0),"-")</f>
        <v>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2026-05-25T07:16:32Z</dcterms:created>
  <dc:creator>openpyxl</dc:creator>
  <dc:description/>
  <dc:language>en-US</dc:language>
  <cp:lastModifiedBy>Pablo Moreno</cp:lastModifiedBy>
  <dcterms:modified xsi:type="dcterms:W3CDTF">2026-06-09T15:36:33Z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