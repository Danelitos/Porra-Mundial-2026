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" sheetId="1" state="visible" r:id="rId3"/>
    <sheet name="Grupo A" sheetId="2" state="visible" r:id="rId4"/>
    <sheet name="Grupo B" sheetId="3" state="visible" r:id="rId5"/>
    <sheet name="Grupo C" sheetId="4" state="visible" r:id="rId6"/>
    <sheet name="Grupo D" sheetId="5" state="visible" r:id="rId7"/>
    <sheet name="Grupo E" sheetId="6" state="visible" r:id="rId8"/>
    <sheet name="Grupo F" sheetId="7" state="visible" r:id="rId9"/>
    <sheet name="Grupo G" sheetId="8" state="visible" r:id="rId10"/>
    <sheet name="Grupo H" sheetId="9" state="visible" r:id="rId11"/>
    <sheet name="Grupo I" sheetId="10" state="visible" r:id="rId12"/>
    <sheet name="Grupo J" sheetId="11" state="visible" r:id="rId13"/>
    <sheet name="Grupo K" sheetId="12" state="visible" r:id="rId14"/>
    <sheet name="Grupo 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<sst xmlns="http://schemas.openxmlformats.org/spreadsheetml/2006/main" count="2894" uniqueCount="207">
  <si>
    <t xml:space="preserve">⚽  PORRA MUNDIAL 2026  —  RANKING FASE DE GRUPOS</t>
  </si>
  <si>
    <t xml:space="preserve">Actualiza introduciendo los resultados reales (celdas amarillas) en cada hoja de grupo</t>
  </si>
  <si>
    <t xml:space="preserve">POS</t>
  </si>
  <si>
    <t xml:space="preserve">PARTICIPANTE</t>
  </si>
  <si>
    <t xml:space="preserve">PUNTOS TOTALES</t>
  </si>
  <si>
    <t xml:space="preserve">Aaron</t>
  </si>
  <si>
    <t xml:space="preserve">Aitor</t>
  </si>
  <si>
    <t xml:space="preserve">Coco</t>
  </si>
  <si>
    <t xml:space="preserve">Danel</t>
  </si>
  <si>
    <t xml:space="preserve">Guille</t>
  </si>
  <si>
    <t xml:space="preserve">Jaime</t>
  </si>
  <si>
    <t xml:space="preserve">JonBel</t>
  </si>
  <si>
    <t xml:space="preserve">JonMo</t>
  </si>
  <si>
    <t xml:space="preserve">JuanLu</t>
  </si>
  <si>
    <t xml:space="preserve">JuanRo</t>
  </si>
  <si>
    <t xml:space="preserve">LuisMi</t>
  </si>
  <si>
    <t xml:space="preserve">Mario</t>
  </si>
  <si>
    <t xml:space="preserve">Pablo</t>
  </si>
  <si>
    <t xml:space="preserve">Roberto</t>
  </si>
  <si>
    <t xml:space="preserve">Txiki</t>
  </si>
  <si>
    <t xml:space="preserve">Wiki</t>
  </si>
  <si>
    <t xml:space="preserve">Xabi</t>
  </si>
  <si>
    <t xml:space="preserve">⚽  GRUPO A  —  México · Sudáfrica · Corea del Sur · Rep. Checa</t>
  </si>
  <si>
    <t xml:space="preserve">JOR.</t>
  </si>
  <si>
    <t xml:space="preserve">LOCAL</t>
  </si>
  <si>
    <t xml:space="preserve">VS</t>
  </si>
  <si>
    <t xml:space="preserve">VISITANTE</t>
  </si>
  <si>
    <t xml:space="preserve">FECHA</t>
  </si>
  <si>
    <t xml:space="preserve">✅ RESULTADO REAL</t>
  </si>
  <si>
    <t xml:space="preserve">L</t>
  </si>
  <si>
    <t xml:space="preserve">V</t>
  </si>
  <si>
    <t xml:space="preserve">±</t>
  </si>
  <si>
    <t xml:space="preserve">GOL L</t>
  </si>
  <si>
    <t xml:space="preserve">GOL V</t>
  </si>
  <si>
    <t xml:space="preserve">México</t>
  </si>
  <si>
    <t xml:space="preserve">vs</t>
  </si>
  <si>
    <t xml:space="preserve">Sudáfrica</t>
  </si>
  <si>
    <t xml:space="preserve">1</t>
  </si>
  <si>
    <t xml:space="preserve">X</t>
  </si>
  <si>
    <t xml:space="preserve">Corea del Sur</t>
  </si>
  <si>
    <t xml:space="preserve">Rep. Checa</t>
  </si>
  <si>
    <t xml:space="preserve">2</t>
  </si>
  <si>
    <t xml:space="preserve">📊  CLASIFICACIÓN DEL GRUPO  (rellena los equipos reales en amarillo)</t>
  </si>
  <si>
    <t xml:space="preserve">🥇 1º</t>
  </si>
  <si>
    <t xml:space="preserve">Mexico</t>
  </si>
  <si>
    <t xml:space="preserve">REPUBLICA CHECA</t>
  </si>
  <si>
    <t xml:space="preserve">COREA DEL SUR</t>
  </si>
  <si>
    <t xml:space="preserve">Re. Checa</t>
  </si>
  <si>
    <t xml:space="preserve">mexico</t>
  </si>
  <si>
    <t xml:space="preserve">🥈 2º</t>
  </si>
  <si>
    <t xml:space="preserve">MÉXICO</t>
  </si>
  <si>
    <t xml:space="preserve">Chequia</t>
  </si>
  <si>
    <t xml:space="preserve">republica checa</t>
  </si>
  <si>
    <t xml:space="preserve">🥉 3º</t>
  </si>
  <si>
    <t xml:space="preserve">República Checa</t>
  </si>
  <si>
    <t xml:space="preserve">REP.CHECA</t>
  </si>
  <si>
    <t xml:space="preserve">Corea</t>
  </si>
  <si>
    <t xml:space="preserve">Sudafrica</t>
  </si>
  <si>
    <t xml:space="preserve">corea del sur</t>
  </si>
  <si>
    <t xml:space="preserve">Corea del sur</t>
  </si>
  <si>
    <t xml:space="preserve">🎯  PUNTOS TOTALES</t>
  </si>
  <si>
    <t xml:space="preserve">Signos acertados (1 pt c/u)</t>
  </si>
  <si>
    <t xml:space="preserve">Marcadores exactos (3 pts c/u)</t>
  </si>
  <si>
    <t xml:space="preserve">Clasificación 1º(4pt) 2º(2pt) 3º(1pt)</t>
  </si>
  <si>
    <t xml:space="preserve">⭐  TOTAL DEL GRUPO</t>
  </si>
  <si>
    <t xml:space="preserve">⚽  GRUPO B  —  Canadá · Bosnia-Herz. · Qatar · Suiza</t>
  </si>
  <si>
    <t xml:space="preserve">Canadá</t>
  </si>
  <si>
    <t xml:space="preserve">Bosnia-Herz.</t>
  </si>
  <si>
    <t xml:space="preserve">Qatar</t>
  </si>
  <si>
    <t xml:space="preserve">Suiza</t>
  </si>
  <si>
    <t xml:space="preserve">SUIZA</t>
  </si>
  <si>
    <t xml:space="preserve">suiza</t>
  </si>
  <si>
    <t xml:space="preserve">Bosnia -Herz</t>
  </si>
  <si>
    <t xml:space="preserve">BOSNIA</t>
  </si>
  <si>
    <t xml:space="preserve">CANADÁ</t>
  </si>
  <si>
    <t xml:space="preserve">Canada</t>
  </si>
  <si>
    <t xml:space="preserve">canada</t>
  </si>
  <si>
    <t xml:space="preserve">Bosnia</t>
  </si>
  <si>
    <t xml:space="preserve">CANADA</t>
  </si>
  <si>
    <t xml:space="preserve">BOSNIA-HERZEGOVINA</t>
  </si>
  <si>
    <t xml:space="preserve">Bosnia-Herzegovina</t>
  </si>
  <si>
    <t xml:space="preserve">Bosnia-Herz</t>
  </si>
  <si>
    <t xml:space="preserve">bosnia Herzegovina</t>
  </si>
  <si>
    <t xml:space="preserve">⚽  GRUPO C  —  Brasil · Marruecos · Haití · Escocia</t>
  </si>
  <si>
    <t xml:space="preserve">Brasil</t>
  </si>
  <si>
    <t xml:space="preserve">Marruecos</t>
  </si>
  <si>
    <t xml:space="preserve">Haití</t>
  </si>
  <si>
    <t xml:space="preserve">Escocia</t>
  </si>
  <si>
    <t xml:space="preserve">MARRUECOS</t>
  </si>
  <si>
    <t xml:space="preserve">BRASIL</t>
  </si>
  <si>
    <t xml:space="preserve">brasil</t>
  </si>
  <si>
    <t xml:space="preserve">Brazil</t>
  </si>
  <si>
    <t xml:space="preserve">marruecos</t>
  </si>
  <si>
    <t xml:space="preserve">ESCOCIA</t>
  </si>
  <si>
    <t xml:space="preserve">escocia</t>
  </si>
  <si>
    <t xml:space="preserve">⚽  GRUPO D  —  EE.UU. · Paraguay · Australia · Turquía</t>
  </si>
  <si>
    <t xml:space="preserve">EE.UU.</t>
  </si>
  <si>
    <t xml:space="preserve">Paraguay</t>
  </si>
  <si>
    <t xml:space="preserve">Australia</t>
  </si>
  <si>
    <t xml:space="preserve">Turquía</t>
  </si>
  <si>
    <t xml:space="preserve">Turquia</t>
  </si>
  <si>
    <t xml:space="preserve">PARAGUAY</t>
  </si>
  <si>
    <t xml:space="preserve">TURQUÍA</t>
  </si>
  <si>
    <t xml:space="preserve">EE UU</t>
  </si>
  <si>
    <t xml:space="preserve">EEUU</t>
  </si>
  <si>
    <t xml:space="preserve">turquia</t>
  </si>
  <si>
    <t xml:space="preserve">eeuu</t>
  </si>
  <si>
    <t xml:space="preserve">TURQUIA</t>
  </si>
  <si>
    <t xml:space="preserve">australia</t>
  </si>
  <si>
    <t xml:space="preserve">⚽  GRUPO E  —  Alemania · Curaçao · Costa de Marfil · Ecuador</t>
  </si>
  <si>
    <t xml:space="preserve">Alemania</t>
  </si>
  <si>
    <t xml:space="preserve">Curaçao</t>
  </si>
  <si>
    <t xml:space="preserve">Costa de Marfil</t>
  </si>
  <si>
    <t xml:space="preserve">Ecuador</t>
  </si>
  <si>
    <t xml:space="preserve">ALEMANIA</t>
  </si>
  <si>
    <t xml:space="preserve">alemania</t>
  </si>
  <si>
    <t xml:space="preserve">ECUADOR</t>
  </si>
  <si>
    <t xml:space="preserve">ecuador</t>
  </si>
  <si>
    <t xml:space="preserve">COSTA DE MARFIL</t>
  </si>
  <si>
    <t xml:space="preserve">Costa Marfil</t>
  </si>
  <si>
    <t xml:space="preserve">costa de marfil</t>
  </si>
  <si>
    <t xml:space="preserve">⚽  GRUPO F  —  Países Bajos · Japón · Túnez · Suecia</t>
  </si>
  <si>
    <t xml:space="preserve">Países Bajos</t>
  </si>
  <si>
    <t xml:space="preserve">Japón</t>
  </si>
  <si>
    <t xml:space="preserve">Túnez</t>
  </si>
  <si>
    <t xml:space="preserve">Suecia</t>
  </si>
  <si>
    <t xml:space="preserve">Países bajos</t>
  </si>
  <si>
    <t xml:space="preserve">PAISES BAJOS</t>
  </si>
  <si>
    <t xml:space="preserve">PAÍSES BAJOS</t>
  </si>
  <si>
    <t xml:space="preserve">Japon</t>
  </si>
  <si>
    <t xml:space="preserve">Paises Bajos</t>
  </si>
  <si>
    <t xml:space="preserve">países bajos</t>
  </si>
  <si>
    <t xml:space="preserve">JAPÓN</t>
  </si>
  <si>
    <t xml:space="preserve">SUECIA</t>
  </si>
  <si>
    <t xml:space="preserve">Holanda</t>
  </si>
  <si>
    <t xml:space="preserve">japon</t>
  </si>
  <si>
    <t xml:space="preserve">Tunez</t>
  </si>
  <si>
    <t xml:space="preserve">suecia</t>
  </si>
  <si>
    <t xml:space="preserve">⚽  GRUPO G  —  Bélgica · Egipto · Irán · Nueva Zelanda</t>
  </si>
  <si>
    <t xml:space="preserve">Bélgica</t>
  </si>
  <si>
    <t xml:space="preserve">Egipto</t>
  </si>
  <si>
    <t xml:space="preserve">Irán</t>
  </si>
  <si>
    <t xml:space="preserve">Nueva Zelanda</t>
  </si>
  <si>
    <t xml:space="preserve">BÉLGICA</t>
  </si>
  <si>
    <t xml:space="preserve">Belgica</t>
  </si>
  <si>
    <t xml:space="preserve">IRÁN</t>
  </si>
  <si>
    <t xml:space="preserve">EGIPTO</t>
  </si>
  <si>
    <t xml:space="preserve">Egipo</t>
  </si>
  <si>
    <t xml:space="preserve">Iran</t>
  </si>
  <si>
    <t xml:space="preserve">⚽  GRUPO H  —  España · Cabo Verde · Arabia Saudí · Uruguay</t>
  </si>
  <si>
    <t xml:space="preserve">España</t>
  </si>
  <si>
    <t xml:space="preserve">Cabo Verde</t>
  </si>
  <si>
    <t xml:space="preserve">Arabia Saudí</t>
  </si>
  <si>
    <t xml:space="preserve">Uruguay</t>
  </si>
  <si>
    <t xml:space="preserve">ESPAÑA</t>
  </si>
  <si>
    <t xml:space="preserve">URUGUAY</t>
  </si>
  <si>
    <t xml:space="preserve">uruguay</t>
  </si>
  <si>
    <t xml:space="preserve">ARABIA SAUDI</t>
  </si>
  <si>
    <t xml:space="preserve">ARABIA SAUDÍ</t>
  </si>
  <si>
    <t xml:space="preserve">CABO VERDE</t>
  </si>
  <si>
    <t xml:space="preserve">Arabia</t>
  </si>
  <si>
    <t xml:space="preserve">Arabia Saudi</t>
  </si>
  <si>
    <t xml:space="preserve">cabo verde</t>
  </si>
  <si>
    <t xml:space="preserve">⚽  GRUPO I  —  Francia · Senegal · Irak · Noruega</t>
  </si>
  <si>
    <t xml:space="preserve">Francia</t>
  </si>
  <si>
    <t xml:space="preserve">Senegal</t>
  </si>
  <si>
    <t xml:space="preserve">Irak</t>
  </si>
  <si>
    <t xml:space="preserve">Noruega</t>
  </si>
  <si>
    <t xml:space="preserve">FRANCIA</t>
  </si>
  <si>
    <t xml:space="preserve">francia</t>
  </si>
  <si>
    <t xml:space="preserve">SENEGAL</t>
  </si>
  <si>
    <t xml:space="preserve">NORUEGA</t>
  </si>
  <si>
    <t xml:space="preserve">noruega</t>
  </si>
  <si>
    <t xml:space="preserve">⚽  GRUPO J  —  Argentina · Argelia · Austria · Jordania</t>
  </si>
  <si>
    <t xml:space="preserve">Argentina</t>
  </si>
  <si>
    <t xml:space="preserve">Argelia</t>
  </si>
  <si>
    <t xml:space="preserve">Austria</t>
  </si>
  <si>
    <t xml:space="preserve">Jordania</t>
  </si>
  <si>
    <t xml:space="preserve">ARGENTINA</t>
  </si>
  <si>
    <t xml:space="preserve">ARGELIA</t>
  </si>
  <si>
    <t xml:space="preserve">AUSTRIA</t>
  </si>
  <si>
    <t xml:space="preserve">⚽  GRUPO K  —  Portugal · R.D. Congo · Uzbekistán · Colombia</t>
  </si>
  <si>
    <t xml:space="preserve">Portugal</t>
  </si>
  <si>
    <t xml:space="preserve">R.D. Congo</t>
  </si>
  <si>
    <t xml:space="preserve">Uzbekistán</t>
  </si>
  <si>
    <t xml:space="preserve">Colombia</t>
  </si>
  <si>
    <t xml:space="preserve">Portual</t>
  </si>
  <si>
    <t xml:space="preserve">COLOMBIA</t>
  </si>
  <si>
    <t xml:space="preserve">PORTUGAL</t>
  </si>
  <si>
    <t xml:space="preserve">Ghana</t>
  </si>
  <si>
    <t xml:space="preserve">colombia</t>
  </si>
  <si>
    <t xml:space="preserve">R.D.Congo</t>
  </si>
  <si>
    <t xml:space="preserve">R.D.CONGO</t>
  </si>
  <si>
    <t xml:space="preserve">R.D. CONGO</t>
  </si>
  <si>
    <t xml:space="preserve">Uzbekistan</t>
  </si>
  <si>
    <t xml:space="preserve">R.D Congo</t>
  </si>
  <si>
    <t xml:space="preserve">R.D.congo</t>
  </si>
  <si>
    <t xml:space="preserve">Congo</t>
  </si>
  <si>
    <t xml:space="preserve">⚽  GRUPO L  —  Inglaterra · Croacia · Ghana · Panamá</t>
  </si>
  <si>
    <t xml:space="preserve">Inglaterra</t>
  </si>
  <si>
    <t xml:space="preserve">Croacia</t>
  </si>
  <si>
    <t xml:space="preserve">Panamá</t>
  </si>
  <si>
    <t xml:space="preserve">CROACIA</t>
  </si>
  <si>
    <t xml:space="preserve">INGLATERRA</t>
  </si>
  <si>
    <t xml:space="preserve">croacia</t>
  </si>
  <si>
    <t xml:space="preserve">GHANA</t>
  </si>
  <si>
    <t xml:space="preserve">panama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</si>
</sst>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1"/>
      <color rgb="FF1F497D"/>
      <name val="Arial"/>
      <family val="0"/>
      <charset val="1"/>
    </font>
    <font>
      <b val="true"/>
      <sz val="16"/>
      <color rgb="FF1F497D"/>
      <name val="Arial"/>
      <family val="0"/>
      <charset val="1"/>
    </font>
    <font>
      <b val="true"/>
      <sz val="11"/>
      <color rgb="FF4472C4"/>
      <name val="Arial"/>
      <family val="0"/>
      <charset val="1"/>
    </font>
    <font>
      <b val="true"/>
      <sz val="16"/>
      <color rgb="FF4472C4"/>
      <name val="Arial"/>
      <family val="0"/>
      <charset val="1"/>
    </font>
    <font>
      <b val="true"/>
      <sz val="11"/>
      <color rgb="FF70AD47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6"/>
      <color rgb="FF00B050"/>
      <name val="Arial"/>
      <family val="0"/>
      <charset val="1"/>
    </font>
    <font>
      <b val="true"/>
      <sz val="11"/>
      <color rgb="FFFFC000"/>
      <name val="Arial"/>
      <family val="0"/>
      <charset val="1"/>
    </font>
    <font>
      <b val="true"/>
      <sz val="16"/>
      <color rgb="FFFFC000"/>
      <name val="Arial"/>
      <family val="0"/>
      <charset val="1"/>
    </font>
    <font>
      <b val="true"/>
      <sz val="11"/>
      <color rgb="FF4BACC6"/>
      <name val="Arial"/>
      <family val="0"/>
      <charset val="1"/>
    </font>
    <font>
      <b val="true"/>
      <sz val="16"/>
      <color rgb="FF4BACC6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6"/>
      <color rgb="FF843C0C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9E480E"/>
      <name val="Arial"/>
      <family val="0"/>
      <charset val="1"/>
    </font>
    <font>
      <b val="true"/>
      <sz val="16"/>
      <color rgb="FF9E480E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b val="true"/>
      <sz val="16"/>
      <color rgb="FF0070C0"/>
      <name val="Arial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6"/>
      <color rgb="FF002060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16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8"/>
      <color rgb="FF1F497D"/>
      <name val="Arial"/>
      <family val="0"/>
      <charset val="1"/>
    </font>
    <font>
      <b val="true"/>
      <sz val="8"/>
      <color rgb="FF4472C4"/>
      <name val="Arial"/>
      <family val="0"/>
      <charset val="1"/>
    </font>
    <font>
      <b val="true"/>
      <sz val="8"/>
      <color rgb="FF70AD47"/>
      <name val="Arial"/>
      <family val="0"/>
      <charset val="1"/>
    </font>
    <font>
      <b val="true"/>
      <sz val="8"/>
      <color rgb="FFED7D31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7030A0"/>
      <name val="Arial"/>
      <family val="0"/>
      <charset val="1"/>
    </font>
    <font>
      <b val="true"/>
      <sz val="8"/>
      <color rgb="FF00B050"/>
      <name val="Arial"/>
      <family val="0"/>
      <charset val="1"/>
    </font>
    <font>
      <b val="true"/>
      <sz val="8"/>
      <color rgb="FFFFC000"/>
      <name val="Arial"/>
      <family val="0"/>
      <charset val="1"/>
    </font>
    <font>
      <b val="true"/>
      <sz val="8"/>
      <color rgb="FF4BACC6"/>
      <name val="Arial"/>
      <family val="0"/>
      <charset val="1"/>
    </font>
    <font>
      <sz val="8"/>
      <color rgb="FF843C0C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9E480E"/>
      <name val="Arial"/>
      <family val="0"/>
      <charset val="1"/>
    </font>
    <font>
      <b val="true"/>
      <sz val="8"/>
      <color rgb="FF0070C0"/>
      <name val="Arial"/>
      <family val="0"/>
      <charset val="1"/>
    </font>
    <font>
      <b val="true"/>
      <sz val="8"/>
      <color rgb="FF002060"/>
      <name val="Arial"/>
      <family val="0"/>
      <charset val="1"/>
    </font>
    <font>
      <b val="true"/>
      <sz val="8"/>
      <color rgb="FF7F7F7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4BACC6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E480E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8"/>
      <color rgb="FF2E75B6"/>
      <name val="Arial"/>
      <family val="0"/>
      <charset val="1"/>
    </font>
    <font>
      <b val="true"/>
      <sz val="8"/>
      <color rgb="FF843C0C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4472C4"/>
      </patternFill>
    </fill>
    <fill>
      <patternFill patternType="solid">
        <fgColor rgb="FFEBF5FB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BDD7EE"/>
        <bgColor rgb="FFDDEBF7"/>
      </patternFill>
    </fill>
    <fill>
      <patternFill patternType="solid">
        <fgColor rgb="FF1F497D"/>
        <bgColor rgb="FF1F3864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CD7F32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80008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D700"/>
      </patternFill>
    </fill>
    <fill>
      <patternFill patternType="solid">
        <fgColor rgb="FF4BACC6"/>
        <bgColor rgb="FF4472C4"/>
      </patternFill>
    </fill>
    <fill>
      <patternFill patternType="solid">
        <fgColor rgb="FF843C0C"/>
        <bgColor rgb="FF9E480E"/>
      </patternFill>
    </fill>
    <fill>
      <patternFill patternType="solid">
        <fgColor rgb="FF375623"/>
        <bgColor rgb="FF555555"/>
      </patternFill>
    </fill>
    <fill>
      <patternFill patternType="solid">
        <fgColor rgb="FF9E480E"/>
        <bgColor rgb="FF843C0C"/>
      </patternFill>
    </fill>
    <fill>
      <patternFill patternType="solid">
        <fgColor rgb="FF0070C0"/>
        <bgColor rgb="FF008080"/>
      </patternFill>
    </fill>
    <fill>
      <patternFill patternType="solid">
        <fgColor rgb="FF002060"/>
        <bgColor rgb="FF1F3864"/>
      </patternFill>
    </fill>
    <fill>
      <patternFill patternType="solid">
        <fgColor rgb="FF7F7F7F"/>
        <bgColor rgb="FF70AD47"/>
      </patternFill>
    </fill>
    <fill>
      <patternFill patternType="solid">
        <fgColor rgb="FFFFF2CC"/>
        <bgColor rgb="FFF0F0F0"/>
      </patternFill>
    </fill>
    <fill>
      <patternFill patternType="solid">
        <fgColor rgb="FFFFFF99"/>
        <bgColor rgb="FFFFF2CC"/>
      </patternFill>
    </fill>
    <fill>
      <patternFill patternType="solid">
        <fgColor rgb="FFFFD700"/>
        <bgColor rgb="FFFFC000"/>
      </patternFill>
    </fill>
    <fill>
      <patternFill patternType="solid">
        <fgColor rgb="FFF5F5F5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B8B8B8"/>
        <bgColor rgb="FFBDD7EE"/>
      </patternFill>
    </fill>
    <fill>
      <patternFill patternType="solid">
        <fgColor rgb="FFCD7F32"/>
        <bgColor rgb="FFED7D3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9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0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2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3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5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0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2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3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0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1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2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3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0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1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2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3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7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8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8B8B8"/>
      <rgbColor rgb="FF7F7F7F"/>
      <rgbColor rgb="FF9999FF"/>
      <rgbColor rgb="FF7030A0"/>
      <rgbColor rgb="FFFFF2CC"/>
      <rgbColor rgb="FFDDEBF7"/>
      <rgbColor rgb="FF660066"/>
      <rgbColor rgb="FFCD7F32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2EFDA"/>
      <rgbColor rgb="FFFFFF99"/>
      <rgbColor rgb="FFF5F5F5"/>
      <rgbColor rgb="FFFF99CC"/>
      <rgbColor rgb="FFCC99FF"/>
      <rgbColor rgb="FFF0F0F0"/>
      <rgbColor rgb="FF4472C4"/>
      <rgbColor rgb="FF4BACC6"/>
      <rgbColor rgb="FF99CC00"/>
      <rgbColor rgb="FFFFD700"/>
      <rgbColor rgb="FFFFC000"/>
      <rgbColor rgb="FFED7D31"/>
      <rgbColor rgb="FF555555"/>
      <rgbColor rgb="FF70AD47"/>
      <rgbColor rgb="FF002060"/>
      <rgbColor rgb="FF00B050"/>
      <rgbColor rgb="FF003300"/>
      <rgbColor rgb="FF375623"/>
      <rgbColor rgb="FF843C0C"/>
      <rgbColor rgb="FF9E480E"/>
      <rgbColor rgb="FF1F497D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2.3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/>
      <c r="E3" s="3"/>
    </row>
    <row r="4" customFormat="false" ht="21.75" hidden="false" customHeight="true" outlineLevel="0" collapsed="false">
      <c r="A4" s="4" t="n">
        <v>1</v>
      </c>
      <c r="B4" s="5" t="s">
        <v>5</v>
      </c>
      <c r="C4" s="6" t="n">
        <f aca="false">'Grupo A'!F21+'Grupo B'!F21+'Grupo C'!F21+'Grupo D'!F21+'Grupo E'!F21+'Grupo F'!F21+'Grupo G'!F21+'Grupo H'!F21+'Grupo I'!F21+'Grupo J'!F21+'Grupo K'!F21+'Grupo L'!F21</f>
        <v>0</v>
      </c>
      <c r="D4" s="7"/>
      <c r="E4" s="7"/>
    </row>
    <row r="5" customFormat="false" ht="21.75" hidden="false" customHeight="true" outlineLevel="0" collapsed="false">
      <c r="A5" s="8" t="n">
        <v>2</v>
      </c>
      <c r="B5" s="9" t="s">
        <v>6</v>
      </c>
      <c r="C5" s="10" t="n">
        <f aca="false">'Grupo A'!I21+'Grupo B'!I21+'Grupo C'!I21+'Grupo D'!I21+'Grupo E'!I21+'Grupo F'!I21+'Grupo G'!I21+'Grupo H'!I21+'Grupo I'!I21+'Grupo J'!I21+'Grupo K'!I21+'Grupo L'!I21</f>
        <v>0</v>
      </c>
      <c r="D5" s="11"/>
      <c r="E5" s="11"/>
    </row>
    <row r="6" customFormat="false" ht="21.75" hidden="false" customHeight="true" outlineLevel="0" collapsed="false">
      <c r="A6" s="4" t="n">
        <v>3</v>
      </c>
      <c r="B6" s="12" t="s">
        <v>7</v>
      </c>
      <c r="C6" s="13" t="n">
        <f aca="false">'Grupo A'!L21+'Grupo B'!L21+'Grupo C'!L21+'Grupo D'!L21+'Grupo E'!L21+'Grupo F'!L21+'Grupo G'!L21+'Grupo H'!L21+'Grupo I'!L21+'Grupo J'!L21+'Grupo K'!L21+'Grupo L'!L21</f>
        <v>0</v>
      </c>
      <c r="D6" s="7"/>
      <c r="E6" s="7"/>
    </row>
    <row r="7" customFormat="false" ht="21.75" hidden="false" customHeight="true" outlineLevel="0" collapsed="false">
      <c r="A7" s="8" t="n">
        <v>4</v>
      </c>
      <c r="B7" s="14" t="s">
        <v>8</v>
      </c>
      <c r="C7" s="15" t="n">
        <f aca="false">'Grupo A'!O21+'Grupo B'!O21+'Grupo C'!O21+'Grupo D'!O21+'Grupo E'!O21+'Grupo F'!O21+'Grupo G'!O21+'Grupo H'!O21+'Grupo I'!O21+'Grupo J'!O21+'Grupo K'!O21+'Grupo L'!O21</f>
        <v>0</v>
      </c>
      <c r="D7" s="11"/>
      <c r="E7" s="11"/>
    </row>
    <row r="8" customFormat="false" ht="21.75" hidden="false" customHeight="true" outlineLevel="0" collapsed="false">
      <c r="A8" s="4" t="n">
        <v>5</v>
      </c>
      <c r="B8" s="16" t="s">
        <v>9</v>
      </c>
      <c r="C8" s="17" t="n">
        <f aca="false">'Grupo A'!R21+'Grupo B'!R21+'Grupo C'!R21+'Grupo D'!R21+'Grupo E'!R21+'Grupo F'!R21+'Grupo G'!R21+'Grupo H'!R21+'Grupo I'!R21+'Grupo J'!R21+'Grupo K'!R21+'Grupo L'!R21</f>
        <v>0</v>
      </c>
      <c r="D8" s="7"/>
      <c r="E8" s="7"/>
    </row>
    <row r="9" customFormat="false" ht="21.75" hidden="false" customHeight="true" outlineLevel="0" collapsed="false">
      <c r="A9" s="8" t="n">
        <v>6</v>
      </c>
      <c r="B9" s="18" t="s">
        <v>10</v>
      </c>
      <c r="C9" s="19" t="n">
        <f aca="false">'Grupo A'!U21+'Grupo B'!U21+'Grupo C'!U21+'Grupo D'!U21+'Grupo E'!U21+'Grupo F'!U21+'Grupo G'!U21+'Grupo H'!U21+'Grupo I'!U21+'Grupo J'!U21+'Grupo K'!U21+'Grupo L'!U21</f>
        <v>0</v>
      </c>
      <c r="D9" s="11"/>
      <c r="E9" s="11"/>
    </row>
    <row r="10" customFormat="false" ht="21.75" hidden="false" customHeight="true" outlineLevel="0" collapsed="false">
      <c r="A10" s="4" t="n">
        <v>7</v>
      </c>
      <c r="B10" s="20" t="s">
        <v>11</v>
      </c>
      <c r="C10" s="21" t="n">
        <f aca="false">'Grupo A'!X21+'Grupo B'!X21+'Grupo C'!X21+'Grupo D'!X21+'Grupo E'!X21+'Grupo F'!X21+'Grupo G'!X21+'Grupo H'!X21+'Grupo I'!X21+'Grupo J'!X21+'Grupo K'!X21+'Grupo L'!X21</f>
        <v>0</v>
      </c>
      <c r="D10" s="7"/>
      <c r="E10" s="7"/>
    </row>
    <row r="11" customFormat="false" ht="21.75" hidden="false" customHeight="true" outlineLevel="0" collapsed="false">
      <c r="A11" s="8" t="n">
        <v>8</v>
      </c>
      <c r="B11" s="22" t="s">
        <v>12</v>
      </c>
      <c r="C11" s="23" t="n">
        <f aca="false">'Grupo A'!AA21+'Grupo B'!AA21+'Grupo C'!AA21+'Grupo D'!AA21+'Grupo E'!AA21+'Grupo F'!AA21+'Grupo G'!AA21+'Grupo H'!AA21+'Grupo I'!AA21+'Grupo J'!AA21+'Grupo K'!AA21+'Grupo L'!AA21</f>
        <v>0</v>
      </c>
      <c r="D11" s="11"/>
      <c r="E11" s="11"/>
    </row>
    <row r="12" customFormat="false" ht="21.75" hidden="false" customHeight="true" outlineLevel="0" collapsed="false">
      <c r="A12" s="4" t="n">
        <v>9</v>
      </c>
      <c r="B12" s="24" t="s">
        <v>13</v>
      </c>
      <c r="C12" s="25" t="n">
        <f aca="false">'Grupo A'!AD21+'Grupo B'!AD21+'Grupo C'!AD21+'Grupo D'!AD21+'Grupo E'!AD21+'Grupo F'!AD21+'Grupo G'!AD21+'Grupo H'!AD21+'Grupo I'!AD21+'Grupo J'!AD21+'Grupo K'!AD21+'Grupo L'!AD21</f>
        <v>0</v>
      </c>
      <c r="D12" s="7"/>
      <c r="E12" s="7"/>
    </row>
    <row r="13" customFormat="false" ht="21.75" hidden="false" customHeight="true" outlineLevel="0" collapsed="false">
      <c r="A13" s="8" t="n">
        <v>10</v>
      </c>
      <c r="B13" s="26" t="s">
        <v>14</v>
      </c>
      <c r="C13" s="27" t="n">
        <f aca="false">'Grupo A'!AG21+'Grupo B'!AG21+'Grupo C'!AG21+'Grupo D'!AG21+'Grupo E'!AG21+'Grupo F'!AG21+'Grupo G'!AG21+'Grupo H'!AG21+'Grupo I'!AG21+'Grupo J'!AG21+'Grupo K'!AG21+'Grupo L'!AG21</f>
        <v>0</v>
      </c>
      <c r="D13" s="11"/>
      <c r="E13" s="11"/>
    </row>
    <row r="14" customFormat="false" ht="21.75" hidden="false" customHeight="true" outlineLevel="0" collapsed="false">
      <c r="A14" s="4" t="n">
        <v>11</v>
      </c>
      <c r="B14" s="28" t="s">
        <v>15</v>
      </c>
      <c r="C14" s="29" t="n">
        <f aca="false">'Grupo A'!AJ21+'Grupo B'!AJ21+'Grupo C'!AJ21+'Grupo D'!AJ21+'Grupo E'!AJ21+'Grupo F'!AJ21+'Grupo G'!AJ21+'Grupo H'!AJ21+'Grupo I'!AJ21+'Grupo J'!AJ21+'Grupo K'!AJ21+'Grupo L'!AJ21</f>
        <v>0</v>
      </c>
      <c r="D14" s="7"/>
      <c r="E14" s="7"/>
    </row>
    <row r="15" customFormat="false" ht="21.75" hidden="false" customHeight="true" outlineLevel="0" collapsed="false">
      <c r="A15" s="8" t="n">
        <v>12</v>
      </c>
      <c r="B15" s="30" t="s">
        <v>16</v>
      </c>
      <c r="C15" s="31" t="n">
        <f aca="false">'Grupo A'!AM21+'Grupo B'!AM21+'Grupo C'!AM21+'Grupo D'!AM21+'Grupo E'!AM21+'Grupo F'!AM21+'Grupo G'!AM21+'Grupo H'!AM21+'Grupo I'!AM21+'Grupo J'!AM21+'Grupo K'!AM21+'Grupo L'!AM21</f>
        <v>0</v>
      </c>
      <c r="D15" s="11"/>
      <c r="E15" s="11"/>
    </row>
    <row r="16" customFormat="false" ht="21.75" hidden="false" customHeight="true" outlineLevel="0" collapsed="false">
      <c r="A16" s="4" t="n">
        <v>13</v>
      </c>
      <c r="B16" s="32" t="s">
        <v>17</v>
      </c>
      <c r="C16" s="33" t="n">
        <f aca="false">'Grupo A'!AP21+'Grupo B'!AP21+'Grupo C'!AP21+'Grupo D'!AP21+'Grupo E'!AP21+'Grupo F'!AP21+'Grupo G'!AP21+'Grupo H'!AP21+'Grupo I'!AP21+'Grupo J'!AP21+'Grupo K'!AP21+'Grupo L'!AP21</f>
        <v>0</v>
      </c>
      <c r="D16" s="7"/>
      <c r="E16" s="7"/>
    </row>
    <row r="17" customFormat="false" ht="21.75" hidden="false" customHeight="true" outlineLevel="0" collapsed="false">
      <c r="A17" s="8" t="n">
        <v>14</v>
      </c>
      <c r="B17" s="34" t="s">
        <v>18</v>
      </c>
      <c r="C17" s="35" t="n">
        <f aca="false">'Grupo A'!AS21+'Grupo B'!AS21+'Grupo C'!AS21+'Grupo D'!AS21+'Grupo E'!AS21+'Grupo F'!AS21+'Grupo G'!AS21+'Grupo H'!AS21+'Grupo I'!AS21+'Grupo J'!AS21+'Grupo K'!AS21+'Grupo L'!AS21</f>
        <v>0</v>
      </c>
      <c r="D17" s="11"/>
      <c r="E17" s="11"/>
    </row>
    <row r="18" customFormat="false" ht="21.75" hidden="false" customHeight="true" outlineLevel="0" collapsed="false">
      <c r="A18" s="4" t="n">
        <v>15</v>
      </c>
      <c r="B18" s="36" t="s">
        <v>19</v>
      </c>
      <c r="C18" s="37" t="n">
        <f aca="false">'Grupo A'!AV21+'Grupo B'!AV21+'Grupo C'!AV21+'Grupo D'!AV21+'Grupo E'!AV21+'Grupo F'!AV21+'Grupo G'!AV21+'Grupo H'!AV21+'Grupo I'!AV21+'Grupo J'!AV21+'Grupo K'!AV21+'Grupo L'!AV21</f>
        <v>0</v>
      </c>
      <c r="D18" s="7"/>
      <c r="E18" s="7"/>
    </row>
    <row r="19" customFormat="false" ht="21.75" hidden="false" customHeight="true" outlineLevel="0" collapsed="false">
      <c r="A19" s="8" t="n">
        <v>16</v>
      </c>
      <c r="B19" s="38" t="s">
        <v>20</v>
      </c>
      <c r="C19" s="39" t="n">
        <f aca="false">'Grupo A'!AY21+'Grupo B'!AY21+'Grupo C'!AY21+'Grupo D'!AY21+'Grupo E'!AY21+'Grupo F'!AY21+'Grupo G'!AY21+'Grupo H'!AY21+'Grupo I'!AY21+'Grupo J'!AY21+'Grupo K'!AY21+'Grupo L'!AY21</f>
        <v>0</v>
      </c>
      <c r="D19" s="11"/>
      <c r="E19" s="11"/>
    </row>
    <row r="20" customFormat="false" ht="21.75" hidden="false" customHeight="true" outlineLevel="0" collapsed="false">
      <c r="A20" s="4" t="n">
        <v>17</v>
      </c>
      <c r="B20" s="40" t="s">
        <v>21</v>
      </c>
      <c r="C20" s="41" t="n">
        <f aca="false">'Grupo A'!BB21+'Grupo B'!BB21+'Grupo C'!BB21+'Grupo D'!BB21+'Grupo E'!BB21+'Grupo F'!BB21+'Grupo G'!BB21+'Grupo H'!BB21+'Grupo I'!BB21+'Grupo J'!BB21+'Grupo K'!BB21+'Grupo L'!BB21</f>
        <v>0</v>
      </c>
      <c r="D20" s="7"/>
      <c r="E20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34</v>
      </c>
      <c r="C4" s="80" t="s">
        <v>35</v>
      </c>
      <c r="D4" s="81" t="s">
        <v>36</v>
      </c>
      <c r="E4" s="80"/>
      <c r="F4" s="82" t="n">
        <v>3</v>
      </c>
      <c r="G4" s="82" t="n">
        <v>1</v>
      </c>
      <c r="H4" s="82" t="s">
        <v>37</v>
      </c>
      <c r="I4" s="82"/>
      <c r="J4" s="82"/>
      <c r="K4" s="82"/>
      <c r="L4" s="82" t="n">
        <v>3</v>
      </c>
      <c r="M4" s="82" t="n">
        <v>1</v>
      </c>
      <c r="N4" s="82" t="s">
        <v>37</v>
      </c>
      <c r="O4" s="82" t="n">
        <v>2</v>
      </c>
      <c r="P4" s="82" t="n">
        <v>0</v>
      </c>
      <c r="Q4" s="82" t="s">
        <v>37</v>
      </c>
      <c r="R4" s="82" t="n">
        <v>3</v>
      </c>
      <c r="S4" s="82" t="n">
        <v>1</v>
      </c>
      <c r="T4" s="82" t="s">
        <v>37</v>
      </c>
      <c r="U4" s="82" t="n">
        <v>3</v>
      </c>
      <c r="V4" s="82" t="n">
        <v>0</v>
      </c>
      <c r="W4" s="82" t="s">
        <v>37</v>
      </c>
      <c r="X4" s="82" t="n">
        <v>2</v>
      </c>
      <c r="Y4" s="82" t="n">
        <v>1</v>
      </c>
      <c r="Z4" s="82" t="s">
        <v>37</v>
      </c>
      <c r="AA4" s="82" t="n">
        <v>2</v>
      </c>
      <c r="AB4" s="82" t="n">
        <v>0</v>
      </c>
      <c r="AC4" s="82" t="s">
        <v>37</v>
      </c>
      <c r="AD4" s="82" t="n">
        <v>1</v>
      </c>
      <c r="AE4" s="82" t="n">
        <v>0</v>
      </c>
      <c r="AF4" s="82" t="s">
        <v>38</v>
      </c>
      <c r="AG4" s="82" t="n">
        <v>3</v>
      </c>
      <c r="AH4" s="82" t="n">
        <v>1</v>
      </c>
      <c r="AI4" s="82" t="s">
        <v>37</v>
      </c>
      <c r="AJ4" s="82"/>
      <c r="AK4" s="82"/>
      <c r="AL4" s="82"/>
      <c r="AM4" s="82" t="n">
        <v>2</v>
      </c>
      <c r="AN4" s="82" t="n">
        <v>0</v>
      </c>
      <c r="AO4" s="82" t="s">
        <v>37</v>
      </c>
      <c r="AP4" s="82" t="n">
        <v>2</v>
      </c>
      <c r="AQ4" s="82" t="n">
        <v>0</v>
      </c>
      <c r="AR4" s="82" t="s">
        <v>37</v>
      </c>
      <c r="AS4" s="82" t="n">
        <v>1</v>
      </c>
      <c r="AT4" s="82" t="n">
        <v>1</v>
      </c>
      <c r="AU4" s="82" t="s">
        <v>38</v>
      </c>
      <c r="AV4" s="82" t="n">
        <v>2</v>
      </c>
      <c r="AW4" s="82" t="n">
        <v>1</v>
      </c>
      <c r="AX4" s="82" t="s">
        <v>37</v>
      </c>
      <c r="AY4" s="82" t="n">
        <v>2</v>
      </c>
      <c r="AZ4" s="82" t="n">
        <v>0</v>
      </c>
      <c r="BA4" s="82" t="s">
        <v>37</v>
      </c>
      <c r="BB4" s="82" t="n">
        <v>2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39</v>
      </c>
      <c r="C5" s="84" t="s">
        <v>35</v>
      </c>
      <c r="D5" s="85" t="s">
        <v>40</v>
      </c>
      <c r="E5" s="84"/>
      <c r="F5" s="86" t="n">
        <v>1</v>
      </c>
      <c r="G5" s="86" t="n">
        <v>1</v>
      </c>
      <c r="H5" s="86" t="s">
        <v>38</v>
      </c>
      <c r="I5" s="86"/>
      <c r="J5" s="86"/>
      <c r="K5" s="86"/>
      <c r="L5" s="86" t="n">
        <v>1</v>
      </c>
      <c r="M5" s="86" t="n">
        <v>1</v>
      </c>
      <c r="N5" s="86" t="s">
        <v>37</v>
      </c>
      <c r="O5" s="86" t="n">
        <v>1</v>
      </c>
      <c r="P5" s="86" t="n">
        <v>1</v>
      </c>
      <c r="Q5" s="86" t="s">
        <v>38</v>
      </c>
      <c r="R5" s="86" t="n">
        <v>2</v>
      </c>
      <c r="S5" s="86" t="n">
        <v>1</v>
      </c>
      <c r="T5" s="86" t="s">
        <v>37</v>
      </c>
      <c r="U5" s="86" t="n">
        <v>2</v>
      </c>
      <c r="V5" s="86" t="n">
        <v>2</v>
      </c>
      <c r="W5" s="86" t="s">
        <v>38</v>
      </c>
      <c r="X5" s="86" t="n">
        <v>1</v>
      </c>
      <c r="Y5" s="86" t="n">
        <v>1</v>
      </c>
      <c r="Z5" s="86" t="s">
        <v>37</v>
      </c>
      <c r="AA5" s="86" t="n">
        <v>1</v>
      </c>
      <c r="AB5" s="86" t="n">
        <v>1</v>
      </c>
      <c r="AC5" s="86" t="s">
        <v>38</v>
      </c>
      <c r="AD5" s="86" t="n">
        <v>1</v>
      </c>
      <c r="AE5" s="86" t="n">
        <v>1</v>
      </c>
      <c r="AF5" s="86" t="s">
        <v>41</v>
      </c>
      <c r="AG5" s="86" t="n">
        <v>1</v>
      </c>
      <c r="AH5" s="86" t="n">
        <v>1</v>
      </c>
      <c r="AI5" s="86" t="s">
        <v>38</v>
      </c>
      <c r="AJ5" s="86"/>
      <c r="AK5" s="86"/>
      <c r="AL5" s="86"/>
      <c r="AM5" s="86" t="n">
        <v>1</v>
      </c>
      <c r="AN5" s="86" t="n">
        <v>1</v>
      </c>
      <c r="AO5" s="86" t="s">
        <v>38</v>
      </c>
      <c r="AP5" s="86" t="n">
        <v>1</v>
      </c>
      <c r="AQ5" s="86" t="n">
        <v>1</v>
      </c>
      <c r="AR5" s="86" t="s">
        <v>41</v>
      </c>
      <c r="AS5" s="86" t="n">
        <v>1</v>
      </c>
      <c r="AT5" s="86" t="n">
        <v>3</v>
      </c>
      <c r="AU5" s="86" t="s">
        <v>41</v>
      </c>
      <c r="AV5" s="86" t="n">
        <v>1</v>
      </c>
      <c r="AW5" s="86" t="n">
        <v>1</v>
      </c>
      <c r="AX5" s="86" t="s">
        <v>38</v>
      </c>
      <c r="AY5" s="86" t="n">
        <v>1</v>
      </c>
      <c r="AZ5" s="86" t="n">
        <v>1</v>
      </c>
      <c r="BA5" s="86" t="s">
        <v>41</v>
      </c>
      <c r="BB5" s="86" t="n">
        <v>1</v>
      </c>
      <c r="BC5" s="86" t="n">
        <v>1</v>
      </c>
      <c r="BD5" s="86" t="s">
        <v>38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34</v>
      </c>
      <c r="C6" s="80" t="s">
        <v>35</v>
      </c>
      <c r="D6" s="81" t="s">
        <v>39</v>
      </c>
      <c r="E6" s="80"/>
      <c r="F6" s="82" t="n">
        <v>2</v>
      </c>
      <c r="G6" s="82" t="n">
        <v>0</v>
      </c>
      <c r="H6" s="82" t="s">
        <v>37</v>
      </c>
      <c r="I6" s="82"/>
      <c r="J6" s="82"/>
      <c r="K6" s="82"/>
      <c r="L6" s="82" t="n">
        <v>2</v>
      </c>
      <c r="M6" s="82" t="n">
        <v>2</v>
      </c>
      <c r="N6" s="82" t="s">
        <v>37</v>
      </c>
      <c r="O6" s="82" t="n">
        <v>1</v>
      </c>
      <c r="P6" s="82" t="n">
        <v>0</v>
      </c>
      <c r="Q6" s="82" t="s">
        <v>37</v>
      </c>
      <c r="R6" s="82" t="n">
        <v>2</v>
      </c>
      <c r="S6" s="82" t="n">
        <v>0</v>
      </c>
      <c r="T6" s="82" t="s">
        <v>37</v>
      </c>
      <c r="U6" s="82" t="n">
        <v>2</v>
      </c>
      <c r="V6" s="82" t="n">
        <v>1</v>
      </c>
      <c r="W6" s="82" t="s">
        <v>37</v>
      </c>
      <c r="X6" s="82" t="n">
        <v>3</v>
      </c>
      <c r="Y6" s="82" t="n">
        <v>2</v>
      </c>
      <c r="Z6" s="82" t="s">
        <v>38</v>
      </c>
      <c r="AA6" s="82" t="n">
        <v>1</v>
      </c>
      <c r="AB6" s="82" t="n">
        <v>1</v>
      </c>
      <c r="AC6" s="82" t="s">
        <v>38</v>
      </c>
      <c r="AD6" s="82" t="n">
        <v>1</v>
      </c>
      <c r="AE6" s="82" t="n">
        <v>1</v>
      </c>
      <c r="AF6" s="82" t="s">
        <v>41</v>
      </c>
      <c r="AG6" s="82" t="n">
        <v>1</v>
      </c>
      <c r="AH6" s="82" t="n">
        <v>2</v>
      </c>
      <c r="AI6" s="82" t="s">
        <v>38</v>
      </c>
      <c r="AJ6" s="82"/>
      <c r="AK6" s="82"/>
      <c r="AL6" s="82"/>
      <c r="AM6" s="82" t="n">
        <v>2</v>
      </c>
      <c r="AN6" s="82" t="n">
        <v>1</v>
      </c>
      <c r="AO6" s="82" t="s">
        <v>37</v>
      </c>
      <c r="AP6" s="82" t="n">
        <v>1</v>
      </c>
      <c r="AQ6" s="82" t="n">
        <v>1</v>
      </c>
      <c r="AR6" s="82" t="s">
        <v>37</v>
      </c>
      <c r="AS6" s="82" t="n">
        <v>2</v>
      </c>
      <c r="AT6" s="82" t="n">
        <v>0</v>
      </c>
      <c r="AU6" s="82" t="s">
        <v>37</v>
      </c>
      <c r="AV6" s="82" t="n">
        <v>2</v>
      </c>
      <c r="AW6" s="82" t="n">
        <v>1</v>
      </c>
      <c r="AX6" s="82" t="s">
        <v>37</v>
      </c>
      <c r="AY6" s="82" t="n">
        <v>1</v>
      </c>
      <c r="AZ6" s="82" t="n">
        <v>1</v>
      </c>
      <c r="BA6" s="82" t="s">
        <v>37</v>
      </c>
      <c r="BB6" s="82" t="n">
        <v>1</v>
      </c>
      <c r="BC6" s="82" t="n">
        <v>1</v>
      </c>
      <c r="BD6" s="82" t="s">
        <v>38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36</v>
      </c>
      <c r="C7" s="84" t="s">
        <v>35</v>
      </c>
      <c r="D7" s="85" t="s">
        <v>40</v>
      </c>
      <c r="E7" s="84"/>
      <c r="F7" s="86" t="n">
        <v>1</v>
      </c>
      <c r="G7" s="86" t="n">
        <v>1</v>
      </c>
      <c r="H7" s="86" t="s">
        <v>38</v>
      </c>
      <c r="I7" s="86"/>
      <c r="J7" s="86"/>
      <c r="K7" s="86"/>
      <c r="L7" s="86" t="n">
        <v>0</v>
      </c>
      <c r="M7" s="86" t="n">
        <v>3</v>
      </c>
      <c r="N7" s="86" t="s">
        <v>41</v>
      </c>
      <c r="O7" s="86" t="n">
        <v>1</v>
      </c>
      <c r="P7" s="86" t="n">
        <v>2</v>
      </c>
      <c r="Q7" s="86" t="s">
        <v>41</v>
      </c>
      <c r="R7" s="86" t="n">
        <v>2</v>
      </c>
      <c r="S7" s="86" t="n">
        <v>2</v>
      </c>
      <c r="T7" s="86" t="s">
        <v>41</v>
      </c>
      <c r="U7" s="86" t="n">
        <v>1</v>
      </c>
      <c r="V7" s="86" t="n">
        <v>3</v>
      </c>
      <c r="W7" s="86" t="s">
        <v>41</v>
      </c>
      <c r="X7" s="86" t="n">
        <v>0</v>
      </c>
      <c r="Y7" s="86" t="n">
        <v>1</v>
      </c>
      <c r="Z7" s="86" t="s">
        <v>41</v>
      </c>
      <c r="AA7" s="86" t="n">
        <v>0</v>
      </c>
      <c r="AB7" s="86" t="n">
        <v>2</v>
      </c>
      <c r="AC7" s="86" t="s">
        <v>41</v>
      </c>
      <c r="AD7" s="86" t="n">
        <v>0</v>
      </c>
      <c r="AE7" s="86" t="n">
        <v>2</v>
      </c>
      <c r="AF7" s="86" t="s">
        <v>38</v>
      </c>
      <c r="AG7" s="86" t="n">
        <v>1</v>
      </c>
      <c r="AH7" s="86" t="n">
        <v>2</v>
      </c>
      <c r="AI7" s="86" t="s">
        <v>41</v>
      </c>
      <c r="AJ7" s="86"/>
      <c r="AK7" s="86"/>
      <c r="AL7" s="86"/>
      <c r="AM7" s="86" t="n">
        <v>0</v>
      </c>
      <c r="AN7" s="86" t="n">
        <v>1</v>
      </c>
      <c r="AO7" s="86" t="s">
        <v>41</v>
      </c>
      <c r="AP7" s="86" t="n">
        <v>0</v>
      </c>
      <c r="AQ7" s="86" t="n">
        <v>2</v>
      </c>
      <c r="AR7" s="86" t="s">
        <v>41</v>
      </c>
      <c r="AS7" s="86" t="n">
        <v>1</v>
      </c>
      <c r="AT7" s="86" t="n">
        <v>2</v>
      </c>
      <c r="AU7" s="86" t="s">
        <v>41</v>
      </c>
      <c r="AV7" s="86" t="n">
        <v>1</v>
      </c>
      <c r="AW7" s="86" t="n">
        <v>2</v>
      </c>
      <c r="AX7" s="86" t="s">
        <v>41</v>
      </c>
      <c r="AY7" s="86" t="n">
        <v>1</v>
      </c>
      <c r="AZ7" s="86" t="n">
        <v>0</v>
      </c>
      <c r="BA7" s="86" t="s">
        <v>41</v>
      </c>
      <c r="BB7" s="86" t="n">
        <v>0</v>
      </c>
      <c r="BC7" s="86" t="n">
        <v>1</v>
      </c>
      <c r="BD7" s="86" t="s">
        <v>41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40</v>
      </c>
      <c r="C8" s="80" t="s">
        <v>35</v>
      </c>
      <c r="D8" s="81" t="s">
        <v>34</v>
      </c>
      <c r="E8" s="80"/>
      <c r="F8" s="82" t="n">
        <v>0</v>
      </c>
      <c r="G8" s="82" t="n">
        <v>1</v>
      </c>
      <c r="H8" s="82" t="s">
        <v>41</v>
      </c>
      <c r="I8" s="82"/>
      <c r="J8" s="82"/>
      <c r="K8" s="82"/>
      <c r="L8" s="82" t="n">
        <v>0</v>
      </c>
      <c r="M8" s="82" t="n">
        <v>2</v>
      </c>
      <c r="N8" s="82" t="s">
        <v>38</v>
      </c>
      <c r="O8" s="82" t="n">
        <v>0</v>
      </c>
      <c r="P8" s="82" t="n">
        <v>2</v>
      </c>
      <c r="Q8" s="82" t="s">
        <v>41</v>
      </c>
      <c r="R8" s="82" t="n">
        <v>1</v>
      </c>
      <c r="S8" s="82" t="n">
        <v>2</v>
      </c>
      <c r="T8" s="82" t="s">
        <v>37</v>
      </c>
      <c r="U8" s="82" t="n">
        <v>1</v>
      </c>
      <c r="V8" s="82" t="n">
        <v>1</v>
      </c>
      <c r="W8" s="82" t="s">
        <v>38</v>
      </c>
      <c r="X8" s="82" t="n">
        <v>1</v>
      </c>
      <c r="Y8" s="82" t="n">
        <v>1</v>
      </c>
      <c r="Z8" s="82" t="s">
        <v>41</v>
      </c>
      <c r="AA8" s="82" t="n">
        <v>1</v>
      </c>
      <c r="AB8" s="82" t="n">
        <v>2</v>
      </c>
      <c r="AC8" s="82" t="s">
        <v>41</v>
      </c>
      <c r="AD8" s="82" t="n">
        <v>2</v>
      </c>
      <c r="AE8" s="82" t="n">
        <v>2</v>
      </c>
      <c r="AF8" s="82" t="s">
        <v>37</v>
      </c>
      <c r="AG8" s="82" t="n">
        <v>1</v>
      </c>
      <c r="AH8" s="82" t="n">
        <v>1</v>
      </c>
      <c r="AI8" s="82" t="s">
        <v>38</v>
      </c>
      <c r="AJ8" s="82"/>
      <c r="AK8" s="82"/>
      <c r="AL8" s="82"/>
      <c r="AM8" s="82" t="n">
        <v>1</v>
      </c>
      <c r="AN8" s="82" t="n">
        <v>2</v>
      </c>
      <c r="AO8" s="82" t="s">
        <v>41</v>
      </c>
      <c r="AP8" s="82" t="n">
        <v>0</v>
      </c>
      <c r="AQ8" s="82" t="n">
        <v>1</v>
      </c>
      <c r="AR8" s="82" t="s">
        <v>41</v>
      </c>
      <c r="AS8" s="82" t="n">
        <v>2</v>
      </c>
      <c r="AT8" s="82" t="n">
        <v>2</v>
      </c>
      <c r="AU8" s="82" t="s">
        <v>38</v>
      </c>
      <c r="AV8" s="82" t="n">
        <v>1</v>
      </c>
      <c r="AW8" s="82" t="n">
        <v>1</v>
      </c>
      <c r="AX8" s="82" t="s">
        <v>38</v>
      </c>
      <c r="AY8" s="82" t="n">
        <v>1</v>
      </c>
      <c r="AZ8" s="82" t="n">
        <v>3</v>
      </c>
      <c r="BA8" s="82" t="s">
        <v>41</v>
      </c>
      <c r="BB8" s="82" t="n">
        <v>2</v>
      </c>
      <c r="BC8" s="82" t="n">
        <v>1</v>
      </c>
      <c r="BD8" s="82" t="s">
        <v>37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36</v>
      </c>
      <c r="C9" s="84" t="s">
        <v>35</v>
      </c>
      <c r="D9" s="85" t="s">
        <v>39</v>
      </c>
      <c r="E9" s="84"/>
      <c r="F9" s="86" t="n">
        <v>0</v>
      </c>
      <c r="G9" s="86" t="n">
        <v>2</v>
      </c>
      <c r="H9" s="86" t="s">
        <v>41</v>
      </c>
      <c r="I9" s="86"/>
      <c r="J9" s="86"/>
      <c r="K9" s="86"/>
      <c r="L9" s="86" t="n">
        <v>1</v>
      </c>
      <c r="M9" s="86" t="n">
        <v>3</v>
      </c>
      <c r="N9" s="86" t="s">
        <v>41</v>
      </c>
      <c r="O9" s="86" t="n">
        <v>1</v>
      </c>
      <c r="P9" s="86" t="n">
        <v>1</v>
      </c>
      <c r="Q9" s="86" t="s">
        <v>38</v>
      </c>
      <c r="R9" s="86" t="n">
        <v>3</v>
      </c>
      <c r="S9" s="86" t="n">
        <v>1</v>
      </c>
      <c r="T9" s="86" t="s">
        <v>37</v>
      </c>
      <c r="U9" s="86" t="n">
        <v>0</v>
      </c>
      <c r="V9" s="86" t="n">
        <v>2</v>
      </c>
      <c r="W9" s="86" t="s">
        <v>41</v>
      </c>
      <c r="X9" s="86" t="n">
        <v>0</v>
      </c>
      <c r="Y9" s="86" t="n">
        <v>2</v>
      </c>
      <c r="Z9" s="86" t="s">
        <v>41</v>
      </c>
      <c r="AA9" s="86" t="n">
        <v>0</v>
      </c>
      <c r="AB9" s="86" t="n">
        <v>1</v>
      </c>
      <c r="AC9" s="86" t="s">
        <v>41</v>
      </c>
      <c r="AD9" s="86" t="n">
        <v>0</v>
      </c>
      <c r="AE9" s="86" t="n">
        <v>1</v>
      </c>
      <c r="AF9" s="86" t="s">
        <v>38</v>
      </c>
      <c r="AG9" s="86" t="n">
        <v>1</v>
      </c>
      <c r="AH9" s="86" t="n">
        <v>2</v>
      </c>
      <c r="AI9" s="86" t="s">
        <v>41</v>
      </c>
      <c r="AJ9" s="86"/>
      <c r="AK9" s="86"/>
      <c r="AL9" s="86"/>
      <c r="AM9" s="86" t="n">
        <v>1</v>
      </c>
      <c r="AN9" s="86" t="n">
        <v>2</v>
      </c>
      <c r="AO9" s="86" t="s">
        <v>41</v>
      </c>
      <c r="AP9" s="86" t="n">
        <v>0</v>
      </c>
      <c r="AQ9" s="86" t="n">
        <v>1</v>
      </c>
      <c r="AR9" s="86" t="s">
        <v>38</v>
      </c>
      <c r="AS9" s="86" t="n">
        <v>2</v>
      </c>
      <c r="AT9" s="86" t="n">
        <v>0</v>
      </c>
      <c r="AU9" s="86" t="s">
        <v>37</v>
      </c>
      <c r="AV9" s="86" t="n">
        <v>1</v>
      </c>
      <c r="AW9" s="86" t="n">
        <v>1</v>
      </c>
      <c r="AX9" s="86" t="s">
        <v>38</v>
      </c>
      <c r="AY9" s="86" t="n">
        <v>2</v>
      </c>
      <c r="AZ9" s="86" t="n">
        <v>2</v>
      </c>
      <c r="BA9" s="86" t="s">
        <v>37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34</v>
      </c>
      <c r="G12" s="90"/>
      <c r="H12" s="90"/>
      <c r="I12" s="91"/>
      <c r="J12" s="91"/>
      <c r="K12" s="91"/>
      <c r="L12" s="92" t="s">
        <v>34</v>
      </c>
      <c r="M12" s="92"/>
      <c r="N12" s="92"/>
      <c r="O12" s="93" t="s">
        <v>34</v>
      </c>
      <c r="P12" s="93"/>
      <c r="Q12" s="93"/>
      <c r="R12" s="94" t="s">
        <v>34</v>
      </c>
      <c r="S12" s="94"/>
      <c r="T12" s="94"/>
      <c r="U12" s="95" t="s">
        <v>34</v>
      </c>
      <c r="V12" s="95"/>
      <c r="W12" s="95"/>
      <c r="X12" s="96" t="s">
        <v>44</v>
      </c>
      <c r="Y12" s="96"/>
      <c r="Z12" s="96"/>
      <c r="AA12" s="97" t="s">
        <v>34</v>
      </c>
      <c r="AB12" s="97"/>
      <c r="AC12" s="97"/>
      <c r="AD12" s="98" t="s">
        <v>45</v>
      </c>
      <c r="AE12" s="98"/>
      <c r="AF12" s="98"/>
      <c r="AG12" s="99" t="s">
        <v>46</v>
      </c>
      <c r="AH12" s="99"/>
      <c r="AI12" s="99"/>
      <c r="AJ12" s="100"/>
      <c r="AK12" s="100"/>
      <c r="AL12" s="100"/>
      <c r="AM12" s="101" t="s">
        <v>44</v>
      </c>
      <c r="AN12" s="101"/>
      <c r="AO12" s="101"/>
      <c r="AP12" s="102" t="s">
        <v>34</v>
      </c>
      <c r="AQ12" s="102"/>
      <c r="AR12" s="102"/>
      <c r="AS12" s="103" t="s">
        <v>47</v>
      </c>
      <c r="AT12" s="103"/>
      <c r="AU12" s="103"/>
      <c r="AV12" s="104" t="s">
        <v>48</v>
      </c>
      <c r="AW12" s="104"/>
      <c r="AX12" s="104"/>
      <c r="AY12" s="105" t="s">
        <v>44</v>
      </c>
      <c r="AZ12" s="105"/>
      <c r="BA12" s="105"/>
      <c r="BB12" s="106" t="s">
        <v>40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39</v>
      </c>
      <c r="G13" s="90"/>
      <c r="H13" s="90"/>
      <c r="I13" s="91"/>
      <c r="J13" s="91"/>
      <c r="K13" s="91"/>
      <c r="L13" s="92" t="s">
        <v>39</v>
      </c>
      <c r="M13" s="92"/>
      <c r="N13" s="92"/>
      <c r="O13" s="93" t="s">
        <v>39</v>
      </c>
      <c r="P13" s="93"/>
      <c r="Q13" s="93"/>
      <c r="R13" s="94" t="s">
        <v>39</v>
      </c>
      <c r="S13" s="94"/>
      <c r="T13" s="94"/>
      <c r="U13" s="95" t="s">
        <v>40</v>
      </c>
      <c r="V13" s="95"/>
      <c r="W13" s="95"/>
      <c r="X13" s="96" t="s">
        <v>39</v>
      </c>
      <c r="Y13" s="96"/>
      <c r="Z13" s="96"/>
      <c r="AA13" s="97" t="s">
        <v>39</v>
      </c>
      <c r="AB13" s="97"/>
      <c r="AC13" s="97"/>
      <c r="AD13" s="98" t="s">
        <v>50</v>
      </c>
      <c r="AE13" s="98"/>
      <c r="AF13" s="98"/>
      <c r="AG13" s="99" t="s">
        <v>50</v>
      </c>
      <c r="AH13" s="99"/>
      <c r="AI13" s="99"/>
      <c r="AJ13" s="100"/>
      <c r="AK13" s="100"/>
      <c r="AL13" s="100"/>
      <c r="AM13" s="101" t="s">
        <v>51</v>
      </c>
      <c r="AN13" s="101"/>
      <c r="AO13" s="101"/>
      <c r="AP13" s="102" t="s">
        <v>40</v>
      </c>
      <c r="AQ13" s="102"/>
      <c r="AR13" s="102"/>
      <c r="AS13" s="103" t="s">
        <v>44</v>
      </c>
      <c r="AT13" s="103"/>
      <c r="AU13" s="103"/>
      <c r="AV13" s="104" t="s">
        <v>52</v>
      </c>
      <c r="AW13" s="104"/>
      <c r="AX13" s="104"/>
      <c r="AY13" s="105" t="s">
        <v>40</v>
      </c>
      <c r="AZ13" s="105"/>
      <c r="BA13" s="105"/>
      <c r="BB13" s="106" t="s">
        <v>44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40</v>
      </c>
      <c r="G14" s="90"/>
      <c r="H14" s="90"/>
      <c r="I14" s="91"/>
      <c r="J14" s="91"/>
      <c r="K14" s="91"/>
      <c r="L14" s="92" t="s">
        <v>54</v>
      </c>
      <c r="M14" s="92"/>
      <c r="N14" s="92"/>
      <c r="O14" s="93" t="s">
        <v>40</v>
      </c>
      <c r="P14" s="93"/>
      <c r="Q14" s="93"/>
      <c r="R14" s="94" t="s">
        <v>36</v>
      </c>
      <c r="S14" s="94"/>
      <c r="T14" s="94"/>
      <c r="U14" s="95" t="s">
        <v>39</v>
      </c>
      <c r="V14" s="95"/>
      <c r="W14" s="95"/>
      <c r="X14" s="96" t="s">
        <v>40</v>
      </c>
      <c r="Y14" s="96"/>
      <c r="Z14" s="96"/>
      <c r="AA14" s="97" t="s">
        <v>40</v>
      </c>
      <c r="AB14" s="97"/>
      <c r="AC14" s="97"/>
      <c r="AD14" s="98" t="s">
        <v>46</v>
      </c>
      <c r="AE14" s="98"/>
      <c r="AF14" s="98"/>
      <c r="AG14" s="99" t="s">
        <v>55</v>
      </c>
      <c r="AH14" s="99"/>
      <c r="AI14" s="99"/>
      <c r="AJ14" s="100"/>
      <c r="AK14" s="100"/>
      <c r="AL14" s="100"/>
      <c r="AM14" s="101" t="s">
        <v>56</v>
      </c>
      <c r="AN14" s="101"/>
      <c r="AO14" s="101"/>
      <c r="AP14" s="102" t="s">
        <v>39</v>
      </c>
      <c r="AQ14" s="102"/>
      <c r="AR14" s="102"/>
      <c r="AS14" s="103" t="s">
        <v>57</v>
      </c>
      <c r="AT14" s="103"/>
      <c r="AU14" s="103"/>
      <c r="AV14" s="104" t="s">
        <v>58</v>
      </c>
      <c r="AW14" s="104"/>
      <c r="AX14" s="104"/>
      <c r="AY14" s="105" t="s">
        <v>39</v>
      </c>
      <c r="AZ14" s="105"/>
      <c r="BA14" s="105"/>
      <c r="BB14" s="106" t="s">
        <v>59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2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2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2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X",1,0),0)+IF(AND(BE7&lt;&gt;"",BF7&lt;&gt;""),IF(IF(BE7&gt;BF7,"1",IF(BE7&lt;BF7,"2","X"))="2",1,0),0)+IF(AND(BE8&lt;&gt;"",BF8&lt;&gt;""),IF(IF(BE8&gt;BF8,"1",IF(BE8&lt;BF8,"2","X"))="2",1,0),0)+IF(AND(BE9&lt;&gt;"",BF9&lt;&gt;""),IF(IF(BE9&gt;BF9,"1",IF(BE9&lt;BF9,"2","X"))="2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X",1,0),0)+IF(AND(BE7&lt;&gt;"",BF7&lt;&gt;""),IF(IF(BE7&gt;BF7,"1",IF(BE7&lt;BF7,"2","X"))="2",1,0),0)+IF(AND(BE8&lt;&gt;"",BF8&lt;&gt;""),IF(IF(BE8&gt;BF8,"1",IF(BE8&lt;BF8,"2","X"))="2",1,0),0)+IF(AND(BE9&lt;&gt;"",BF9&lt;&gt;""),IF(IF(BE9&gt;BF9,"1",IF(BE9&lt;BF9,"2","X"))="2",1,0),0)</f>
        <v>0</v>
      </c>
      <c r="AB17" s="113"/>
      <c r="AC17" s="113"/>
      <c r="AD17" s="121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2",1,0),0)+IF(AND(BE7&lt;&gt;"",BF7&lt;&gt;""),IF(IF(BE7&gt;BF7,"1",IF(BE7&lt;BF7,"2","X"))="X",1,0),0)+IF(AND(BE8&lt;&gt;"",BF8&lt;&gt;""),IF(IF(BE8&gt;BF8,"1",IF(BE8&lt;BF8,"2","X"))="1",1,0),0)+IF(AND(BE9&lt;&gt;"",BF9&lt;&gt;""),IF(IF(BE9&gt;BF9,"1",IF(BE9&lt;BF9,"2","X"))="X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X",1,0),0)+IF(AND(BE7&lt;&gt;"",BF7&lt;&gt;""),IF(IF(BE7&gt;BF7,"1",IF(BE7&lt;BF7,"2","X"))="2",1,0),0)+IF(AND(BE8&lt;&gt;"",BF8&lt;&gt;""),IF(IF(BE8&gt;BF8,"1",IF(BE8&lt;BF8,"2","X"))="X",1,0),0)+IF(AND(BE9&lt;&gt;"",BF9&lt;&gt;""),IF(IF(BE9&gt;BF9,"1",IF(BE9&lt;BF9,"2","X"))="2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2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Q17" s="113"/>
      <c r="AR17" s="113"/>
      <c r="AS17" s="126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X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3,BF4=1),3,0),0)+IF(AND(BE5&lt;&gt;"",BF5&lt;&gt;""),IF(AND(BE5=1,BF5=1),3,0),0)+IF(AND(BE6&lt;&gt;"",BF6&lt;&gt;""),IF(AND(BE6=2,BF6=0),3,0),0)+IF(AND(BE7&lt;&gt;"",BF7&lt;&gt;""),IF(AND(BE7=1,BF7=1),3,0),0)+IF(AND(BE8&lt;&gt;"",BF8&lt;&gt;""),IF(AND(BE8=0,BF8=1),3,0),0)+IF(AND(BE9&lt;&gt;"",BF9&lt;&gt;""),IF(AND(BE9=0,BF9=2)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3,BF4=1),3,0),0)+IF(AND(BE5&lt;&gt;"",BF5&lt;&gt;""),IF(AND(BE5=1,BF5=1),3,0),0)+IF(AND(BE6&lt;&gt;"",BF6&lt;&gt;""),IF(AND(BE6=2,BF6=2),3,0),0)+IF(AND(BE7&lt;&gt;"",BF7&lt;&gt;""),IF(AND(BE7=0,BF7=3),3,0),0)+IF(AND(BE8&lt;&gt;"",BF8&lt;&gt;""),IF(AND(BE8=0,BF8=2),3,0),0)+IF(AND(BE9&lt;&gt;"",BF9&lt;&gt;""),IF(AND(BE9=1,BF9=3),3,0),0)</f>
        <v>0</v>
      </c>
      <c r="M18" s="133"/>
      <c r="N18" s="133"/>
      <c r="O18" s="136" t="n">
        <f aca="false">IF(AND(BE4&lt;&gt;"",BF4&lt;&gt;""),IF(AND(BE4=2,BF4=0),3,0),0)+IF(AND(BE5&lt;&gt;"",BF5&lt;&gt;""),IF(AND(BE5=1,BF5=1),3,0),0)+IF(AND(BE6&lt;&gt;"",BF6&lt;&gt;""),IF(AND(BE6=1,BF6=0),3,0),0)+IF(AND(BE7&lt;&gt;"",BF7&lt;&gt;""),IF(AND(BE7=1,BF7=2),3,0),0)+IF(AND(BE8&lt;&gt;"",BF8&lt;&gt;""),IF(AND(BE8=0,BF8=2),3,0),0)+IF(AND(BE9&lt;&gt;"",BF9&lt;&gt;""),IF(AND(BE9=1,BF9=1),3,0),0)</f>
        <v>0</v>
      </c>
      <c r="P18" s="133"/>
      <c r="Q18" s="133"/>
      <c r="R18" s="137" t="n">
        <f aca="false">IF(AND(BE4&lt;&gt;"",BF4&lt;&gt;""),IF(AND(BE4=3,BF4=1),3,0),0)+IF(AND(BE5&lt;&gt;"",BF5&lt;&gt;""),IF(AND(BE5=2,BF5=1),3,0),0)+IF(AND(BE6&lt;&gt;"",BF6&lt;&gt;""),IF(AND(BE6=2,BF6=0),3,0),0)+IF(AND(BE7&lt;&gt;"",BF7&lt;&gt;""),IF(AND(BE7=2,BF7=2),3,0),0)+IF(AND(BE8&lt;&gt;"",BF8&lt;&gt;""),IF(AND(BE8=1,BF8=2),3,0),0)+IF(AND(BE9&lt;&gt;"",BF9&lt;&gt;""),IF(AND(BE9=3,BF9=1),3,0),0)</f>
        <v>0</v>
      </c>
      <c r="S18" s="133"/>
      <c r="T18" s="133"/>
      <c r="U18" s="138" t="n">
        <f aca="false">IF(AND(BE4&lt;&gt;"",BF4&lt;&gt;""),IF(AND(BE4=3,BF4=0),3,0),0)+IF(AND(BE5&lt;&gt;"",BF5&lt;&gt;""),IF(AND(BE5=2,BF5=2),3,0),0)+IF(AND(BE6&lt;&gt;"",BF6&lt;&gt;""),IF(AND(BE6=2,BF6=1),3,0),0)+IF(AND(BE7&lt;&gt;"",BF7&lt;&gt;""),IF(AND(BE7=1,BF7=3),3,0),0)+IF(AND(BE8&lt;&gt;"",BF8&lt;&gt;""),IF(AND(BE8=1,BF8=1),3,0),0)+IF(AND(BE9&lt;&gt;"",BF9&lt;&gt;""),IF(AND(BE9=0,BF9=2),3,0),0)</f>
        <v>0</v>
      </c>
      <c r="V18" s="133"/>
      <c r="W18" s="133"/>
      <c r="X18" s="139" t="n">
        <f aca="false">IF(AND(BE4&lt;&gt;"",BF4&lt;&gt;""),IF(AND(BE4=2,BF4=1),3,0),0)+IF(AND(BE5&lt;&gt;"",BF5&lt;&gt;""),IF(AND(BE5=1,BF5=1),3,0),0)+IF(AND(BE6&lt;&gt;"",BF6&lt;&gt;""),IF(AND(BE6=3,BF6=2),3,0),0)+IF(AND(BE7&lt;&gt;"",BF7&lt;&gt;""),IF(AND(BE7=0,BF7=1),3,0),0)+IF(AND(BE8&lt;&gt;"",BF8&lt;&gt;""),IF(AND(BE8=1,BF8=1),3,0),0)+IF(AND(BE9&lt;&gt;"",BF9&lt;&gt;""),IF(AND(BE9=0,BF9=2),3,0),0)</f>
        <v>0</v>
      </c>
      <c r="Y18" s="133"/>
      <c r="Z18" s="133"/>
      <c r="AA18" s="140" t="n">
        <f aca="false">IF(AND(BE4&lt;&gt;"",BF4&lt;&gt;""),IF(AND(BE4=2,BF4=0),3,0),0)+IF(AND(BE5&lt;&gt;"",BF5&lt;&gt;""),IF(AND(BE5=1,BF5=1),3,0),0)+IF(AND(BE6&lt;&gt;"",BF6&lt;&gt;""),IF(AND(BE6=1,BF6=1),3,0),0)+IF(AND(BE7&lt;&gt;"",BF7&lt;&gt;""),IF(AND(BE7=0,BF7=2),3,0),0)+IF(AND(BE8&lt;&gt;"",BF8&lt;&gt;""),IF(AND(BE8=1,BF8=2),3,0),0)+IF(AND(BE9&lt;&gt;"",BF9&lt;&gt;""),IF(AND(BE9=0,BF9=1),3,0),0)</f>
        <v>0</v>
      </c>
      <c r="AB18" s="133"/>
      <c r="AC18" s="133"/>
      <c r="AD18" s="141" t="n">
        <f aca="false">IF(AND(BE4&lt;&gt;"",BF4&lt;&gt;""),IF(AND(BE4=1,BF4=0),3,0),0)+IF(AND(BE5&lt;&gt;"",BF5&lt;&gt;""),IF(AND(BE5=1,BF5=1),3,0),0)+IF(AND(BE6&lt;&gt;"",BF6&lt;&gt;""),IF(AND(BE6=1,BF6=1),3,0),0)+IF(AND(BE7&lt;&gt;"",BF7&lt;&gt;""),IF(AND(BE7=0,BF7=2),3,0),0)+IF(AND(BE8&lt;&gt;"",BF8&lt;&gt;""),IF(AND(BE8=2,BF8=2),3,0),0)+IF(AND(BE9&lt;&gt;"",BF9&lt;&gt;""),IF(AND(BE9=0,BF9=1),3,0),0)</f>
        <v>0</v>
      </c>
      <c r="AE18" s="133"/>
      <c r="AF18" s="133"/>
      <c r="AG18" s="142" t="n">
        <f aca="false">IF(AND(BE4&lt;&gt;"",BF4&lt;&gt;""),IF(AND(BE4=3,BF4=1),3,0),0)+IF(AND(BE5&lt;&gt;"",BF5&lt;&gt;""),IF(AND(BE5=1,BF5=1),3,0),0)+IF(AND(BE6&lt;&gt;"",BF6&lt;&gt;""),IF(AND(BE6=1,BF6=2),3,0),0)+IF(AND(BE7&lt;&gt;"",BF7&lt;&gt;""),IF(AND(BE7=1,BF7=2),3,0),0)+IF(AND(BE8&lt;&gt;"",BF8&lt;&gt;""),IF(AND(BE8=1,BF8=1),3,0),0)+IF(AND(BE9&lt;&gt;"",BF9&lt;&gt;""),IF(AND(BE9=1,BF9=2)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2,BF4=0),3,0),0)+IF(AND(BE5&lt;&gt;"",BF5&lt;&gt;""),IF(AND(BE5=1,BF5=1),3,0),0)+IF(AND(BE6&lt;&gt;"",BF6&lt;&gt;""),IF(AND(BE6=2,BF6=1),3,0),0)+IF(AND(BE7&lt;&gt;"",BF7&lt;&gt;""),IF(AND(BE7=0,BF7=1),3,0),0)+IF(AND(BE8&lt;&gt;"",BF8&lt;&gt;""),IF(AND(BE8=1,BF8=2),3,0),0)+IF(AND(BE9&lt;&gt;"",BF9&lt;&gt;""),IF(AND(BE9=1,BF9=2),3,0),0)</f>
        <v>0</v>
      </c>
      <c r="AN18" s="133"/>
      <c r="AO18" s="133"/>
      <c r="AP18" s="145" t="n">
        <f aca="false">IF(AND(BE4&lt;&gt;"",BF4&lt;&gt;""),IF(AND(BE4=2,BF4=0),3,0),0)+IF(AND(BE5&lt;&gt;"",BF5&lt;&gt;""),IF(AND(BE5=1,BF5=1),3,0),0)+IF(AND(BE6&lt;&gt;"",BF6&lt;&gt;""),IF(AND(BE6=1,BF6=1),3,0),0)+IF(AND(BE7&lt;&gt;"",BF7&lt;&gt;""),IF(AND(BE7=0,BF7=2),3,0),0)+IF(AND(BE8&lt;&gt;"",BF8&lt;&gt;""),IF(AND(BE8=0,BF8=1),3,0),0)+IF(AND(BE9&lt;&gt;"",BF9&lt;&gt;""),IF(AND(BE9=0,BF9=1),3,0),0)</f>
        <v>0</v>
      </c>
      <c r="AQ18" s="133"/>
      <c r="AR18" s="133"/>
      <c r="AS18" s="146" t="n">
        <f aca="false">IF(AND(BE4&lt;&gt;"",BF4&lt;&gt;""),IF(AND(BE4=1,BF4=1),3,0),0)+IF(AND(BE5&lt;&gt;"",BF5&lt;&gt;""),IF(AND(BE5=1,BF5=3),3,0),0)+IF(AND(BE6&lt;&gt;"",BF6&lt;&gt;""),IF(AND(BE6=2,BF6=0),3,0),0)+IF(AND(BE7&lt;&gt;"",BF7&lt;&gt;""),IF(AND(BE7=1,BF7=2),3,0),0)+IF(AND(BE8&lt;&gt;"",BF8&lt;&gt;""),IF(AND(BE8=2,BF8=2),3,0),0)+IF(AND(BE9&lt;&gt;"",BF9&lt;&gt;""),IF(AND(BE9=2,BF9=0),3,0),0)</f>
        <v>0</v>
      </c>
      <c r="AT18" s="133"/>
      <c r="AU18" s="133"/>
      <c r="AV18" s="147" t="n">
        <f aca="false">IF(AND(BE4&lt;&gt;"",BF4&lt;&gt;""),IF(AND(BE4=2,BF4=1),3,0),0)+IF(AND(BE5&lt;&gt;"",BF5&lt;&gt;""),IF(AND(BE5=1,BF5=1),3,0),0)+IF(AND(BE6&lt;&gt;"",BF6&lt;&gt;""),IF(AND(BE6=2,BF6=1),3,0),0)+IF(AND(BE7&lt;&gt;"",BF7&lt;&gt;""),IF(AND(BE7=1,BF7=2),3,0),0)+IF(AND(BE8&lt;&gt;"",BF8&lt;&gt;""),IF(AND(BE8=1,BF8=1),3,0),0)+IF(AND(BE9&lt;&gt;"",BF9&lt;&gt;""),IF(AND(BE9=1,BF9=1),3,0),0)</f>
        <v>0</v>
      </c>
      <c r="AW18" s="133"/>
      <c r="AX18" s="133"/>
      <c r="AY18" s="148" t="n">
        <f aca="false">IF(AND(BE4&lt;&gt;"",BF4&lt;&gt;""),IF(AND(BE4=2,BF4=0),3,0),0)+IF(AND(BE5&lt;&gt;"",BF5&lt;&gt;""),IF(AND(BE5=1,BF5=1),3,0),0)+IF(AND(BE6&lt;&gt;"",BF6&lt;&gt;""),IF(AND(BE6=1,BF6=1),3,0),0)+IF(AND(BE7&lt;&gt;"",BF7&lt;&gt;""),IF(AND(BE7=1,BF7=0),3,0),0)+IF(AND(BE8&lt;&gt;"",BF8&lt;&gt;""),IF(AND(BE8=1,BF8=3),3,0),0)+IF(AND(BE9&lt;&gt;"",BF9&lt;&gt;""),IF(AND(BE9=2,BF9=2),3,0),0)</f>
        <v>0</v>
      </c>
      <c r="AZ18" s="133"/>
      <c r="BA18" s="133"/>
      <c r="BB18" s="149" t="n">
        <f aca="false">IF(AND(BE4&lt;&gt;"",BF4&lt;&gt;""),IF(AND(BE4=2,BF4=0),3,0),0)+IF(AND(BE5&lt;&gt;"",BF5&lt;&gt;""),IF(AND(BE5=1,BF5=1),3,0),0)+IF(AND(BE6&lt;&gt;"",BF6&lt;&gt;""),IF(AND(BE6=1,BF6=1),3,0),0)+IF(AND(BE7&lt;&gt;"",BF7&lt;&gt;""),IF(AND(BE7=0,BF7=1),3,0),0)+IF(AND(BE8&lt;&gt;"",BF8&lt;&gt;""),IF(AND(BE8=2,BF8=1)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IF(C12&lt;&gt;"",IF(C12="México",4,0),0)+IF(C13&lt;&gt;"",IF(C13="Corea del Sur",2,0),0)+IF(C14&lt;&gt;"",IF(C14="Rep. Checa",1,0),0)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IF(C12&lt;&gt;"",IF(C12="México",4,0),0)+IF(C13&lt;&gt;"",IF(C13="Corea del Sur",2,0),0)+IF(C14&lt;&gt;"",IF(C14="República Checa",1,0),0)</f>
        <v>0</v>
      </c>
      <c r="M19" s="152"/>
      <c r="N19" s="152"/>
      <c r="O19" s="155" t="n">
        <f aca="false">IF(C12&lt;&gt;"",IF(C12="México",4,0),0)+IF(C13&lt;&gt;"",IF(C13="Corea del Sur",2,0),0)+IF(C14&lt;&gt;"",IF(C14="Rep. Checa",1,0),0)</f>
        <v>0</v>
      </c>
      <c r="P19" s="152"/>
      <c r="Q19" s="152"/>
      <c r="R19" s="156" t="n">
        <f aca="false">IF(C12&lt;&gt;"",IF(C12="México",4,0),0)+IF(C13&lt;&gt;"",IF(C13="Corea del Sur",2,0),0)+IF(C14&lt;&gt;"",IF(C14="Sudáfrica",1,0),0)</f>
        <v>0</v>
      </c>
      <c r="S19" s="152"/>
      <c r="T19" s="152"/>
      <c r="U19" s="157" t="n">
        <f aca="false">IF(C12&lt;&gt;"",IF(C12="México",4,0),0)+IF(C13&lt;&gt;"",IF(C13="Rep. Checa",2,0),0)+IF(C14&lt;&gt;"",IF(C14="Corea del Sur",1,0),0)</f>
        <v>0</v>
      </c>
      <c r="V19" s="152"/>
      <c r="W19" s="152"/>
      <c r="X19" s="158" t="n">
        <f aca="false">IF(C12&lt;&gt;"",IF(C12="Mexico",4,0),0)+IF(C13&lt;&gt;"",IF(C13="Corea del Sur",2,0),0)+IF(C14&lt;&gt;"",IF(C14="Rep. Checa",1,0),0)</f>
        <v>0</v>
      </c>
      <c r="Y19" s="152"/>
      <c r="Z19" s="152"/>
      <c r="AA19" s="159" t="n">
        <f aca="false">IF(C12&lt;&gt;"",IF(C12="México",4,0),0)+IF(C13&lt;&gt;"",IF(C13="Corea del Sur",2,0),0)+IF(C14&lt;&gt;"",IF(C14="Rep. Checa",1,0),0)</f>
        <v>0</v>
      </c>
      <c r="AB19" s="152"/>
      <c r="AC19" s="152"/>
      <c r="AD19" s="160" t="n">
        <f aca="false">IF(C12&lt;&gt;"",IF(C12="REPUBLICA CHECA",4,0),0)+IF(C13&lt;&gt;"",IF(C13="MÉXICO",2,0),0)+IF(C14&lt;&gt;"",IF(C14="COREA DEL SUR",1,0),0)</f>
        <v>0</v>
      </c>
      <c r="AE19" s="152"/>
      <c r="AF19" s="152"/>
      <c r="AG19" s="161" t="n">
        <f aca="false">IF(C12&lt;&gt;"",IF(C12="COREA DEL SUR",4,0),0)+IF(C13&lt;&gt;"",IF(C13="MÉXICO",2,0),0)+IF(C14&lt;&gt;"",IF(C14="REP.CHECA",1,0),0)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IF(C12&lt;&gt;"",IF(C12="Mexico",4,0),0)+IF(C13&lt;&gt;"",IF(C13="Chequia",2,0),0)+IF(C14&lt;&gt;"",IF(C14="Corea",1,0),0)</f>
        <v>0</v>
      </c>
      <c r="AN19" s="152"/>
      <c r="AO19" s="152"/>
      <c r="AP19" s="164" t="n">
        <f aca="false">IF(C12&lt;&gt;"",IF(C12="México",4,0),0)+IF(C13&lt;&gt;"",IF(C13="Rep. Checa",2,0),0)+IF(C14&lt;&gt;"",IF(C14="Corea del Sur",1,0),0)</f>
        <v>0</v>
      </c>
      <c r="AQ19" s="152"/>
      <c r="AR19" s="152"/>
      <c r="AS19" s="165" t="n">
        <f aca="false">IF(C12&lt;&gt;"",IF(C12="Re. Checa",4,0),0)+IF(C13&lt;&gt;"",IF(C13="Mexico",2,0),0)+IF(C14&lt;&gt;"",IF(C14="Sudafrica",1,0),0)</f>
        <v>0</v>
      </c>
      <c r="AT19" s="152"/>
      <c r="AU19" s="152"/>
      <c r="AV19" s="166" t="n">
        <f aca="false">IF(C12&lt;&gt;"",IF(C12="mexico",4,0),0)+IF(C13&lt;&gt;"",IF(C13="republica checa",2,0),0)+IF(C14&lt;&gt;"",IF(C14="corea del sur",1,0),0)</f>
        <v>0</v>
      </c>
      <c r="AW19" s="152"/>
      <c r="AX19" s="152"/>
      <c r="AY19" s="167" t="n">
        <f aca="false">IF(C12&lt;&gt;"",IF(C12="Mexico",4,0),0)+IF(C13&lt;&gt;"",IF(C13="Rep. Checa",2,0),0)+IF(C14&lt;&gt;"",IF(C14="Corea del Sur",1,0),0)</f>
        <v>0</v>
      </c>
      <c r="AZ19" s="152"/>
      <c r="BA19" s="152"/>
      <c r="BB19" s="168" t="n">
        <f aca="false">IF(C12&lt;&gt;"",IF(C12="Rep. Checa",4,0),0)+IF(C13&lt;&gt;"",IF(C13="Mexico",2,0),0)+IF(C14&lt;&gt;"",IF(C14="Corea del sur",1,0),0)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65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66</v>
      </c>
      <c r="C4" s="80" t="s">
        <v>35</v>
      </c>
      <c r="D4" s="81" t="s">
        <v>67</v>
      </c>
      <c r="E4" s="80"/>
      <c r="F4" s="82" t="n">
        <v>2</v>
      </c>
      <c r="G4" s="82" t="n">
        <v>1</v>
      </c>
      <c r="H4" s="82" t="s">
        <v>37</v>
      </c>
      <c r="I4" s="82"/>
      <c r="J4" s="82"/>
      <c r="K4" s="82"/>
      <c r="L4" s="82" t="n">
        <v>1</v>
      </c>
      <c r="M4" s="82" t="n">
        <v>1</v>
      </c>
      <c r="N4" s="82" t="s">
        <v>41</v>
      </c>
      <c r="O4" s="82" t="n">
        <v>2</v>
      </c>
      <c r="P4" s="82" t="n">
        <v>1</v>
      </c>
      <c r="Q4" s="82" t="s">
        <v>37</v>
      </c>
      <c r="R4" s="82" t="n">
        <v>3</v>
      </c>
      <c r="S4" s="82" t="n">
        <v>0</v>
      </c>
      <c r="T4" s="82" t="s">
        <v>37</v>
      </c>
      <c r="U4" s="82" t="n">
        <v>1</v>
      </c>
      <c r="V4" s="82" t="n">
        <v>1</v>
      </c>
      <c r="W4" s="82" t="s">
        <v>38</v>
      </c>
      <c r="X4" s="82" t="n">
        <v>1</v>
      </c>
      <c r="Y4" s="82" t="n">
        <v>1</v>
      </c>
      <c r="Z4" s="82" t="s">
        <v>41</v>
      </c>
      <c r="AA4" s="82" t="n">
        <v>2</v>
      </c>
      <c r="AB4" s="82" t="n">
        <v>0</v>
      </c>
      <c r="AC4" s="82" t="s">
        <v>37</v>
      </c>
      <c r="AD4" s="82" t="n">
        <v>1</v>
      </c>
      <c r="AE4" s="82" t="n">
        <v>1</v>
      </c>
      <c r="AF4" s="82" t="s">
        <v>41</v>
      </c>
      <c r="AG4" s="82" t="n">
        <v>2</v>
      </c>
      <c r="AH4" s="82" t="n">
        <v>2</v>
      </c>
      <c r="AI4" s="82" t="s">
        <v>38</v>
      </c>
      <c r="AJ4" s="82"/>
      <c r="AK4" s="82"/>
      <c r="AL4" s="82"/>
      <c r="AM4" s="82" t="n">
        <v>1</v>
      </c>
      <c r="AN4" s="82" t="n">
        <v>1</v>
      </c>
      <c r="AO4" s="82" t="s">
        <v>38</v>
      </c>
      <c r="AP4" s="82" t="n">
        <v>1</v>
      </c>
      <c r="AQ4" s="82" t="n">
        <v>1</v>
      </c>
      <c r="AR4" s="82" t="s">
        <v>37</v>
      </c>
      <c r="AS4" s="82" t="n">
        <v>1</v>
      </c>
      <c r="AT4" s="82" t="n">
        <v>1</v>
      </c>
      <c r="AU4" s="82" t="s">
        <v>38</v>
      </c>
      <c r="AV4" s="82" t="n">
        <v>1</v>
      </c>
      <c r="AW4" s="82" t="n">
        <v>2</v>
      </c>
      <c r="AX4" s="82" t="s">
        <v>41</v>
      </c>
      <c r="AY4" s="82" t="n">
        <v>0</v>
      </c>
      <c r="AZ4" s="82" t="n">
        <v>1</v>
      </c>
      <c r="BA4" s="82" t="s">
        <v>38</v>
      </c>
      <c r="BB4" s="82" t="n">
        <v>2</v>
      </c>
      <c r="BC4" s="82" t="n">
        <v>1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68</v>
      </c>
      <c r="C5" s="84" t="s">
        <v>35</v>
      </c>
      <c r="D5" s="85" t="s">
        <v>69</v>
      </c>
      <c r="E5" s="84"/>
      <c r="F5" s="86" t="n">
        <v>0</v>
      </c>
      <c r="G5" s="86" t="n">
        <v>4</v>
      </c>
      <c r="H5" s="86" t="s">
        <v>41</v>
      </c>
      <c r="I5" s="86"/>
      <c r="J5" s="86"/>
      <c r="K5" s="86"/>
      <c r="L5" s="86" t="n">
        <v>0</v>
      </c>
      <c r="M5" s="86" t="n">
        <v>3</v>
      </c>
      <c r="N5" s="86" t="s">
        <v>41</v>
      </c>
      <c r="O5" s="86" t="n">
        <v>0</v>
      </c>
      <c r="P5" s="86" t="n">
        <v>2</v>
      </c>
      <c r="Q5" s="86" t="s">
        <v>41</v>
      </c>
      <c r="R5" s="86" t="n">
        <v>1</v>
      </c>
      <c r="S5" s="86" t="n">
        <v>3</v>
      </c>
      <c r="T5" s="86" t="s">
        <v>41</v>
      </c>
      <c r="U5" s="86" t="n">
        <v>1</v>
      </c>
      <c r="V5" s="86" t="n">
        <v>3</v>
      </c>
      <c r="W5" s="86" t="s">
        <v>41</v>
      </c>
      <c r="X5" s="86" t="n">
        <v>0</v>
      </c>
      <c r="Y5" s="86" t="n">
        <v>3</v>
      </c>
      <c r="Z5" s="86" t="s">
        <v>41</v>
      </c>
      <c r="AA5" s="86" t="n">
        <v>0</v>
      </c>
      <c r="AB5" s="86" t="n">
        <v>2</v>
      </c>
      <c r="AC5" s="86" t="s">
        <v>41</v>
      </c>
      <c r="AD5" s="86" t="n">
        <v>0</v>
      </c>
      <c r="AE5" s="86" t="n">
        <v>2</v>
      </c>
      <c r="AF5" s="86" t="s">
        <v>41</v>
      </c>
      <c r="AG5" s="86" t="n">
        <v>0</v>
      </c>
      <c r="AH5" s="86" t="n">
        <v>2</v>
      </c>
      <c r="AI5" s="86" t="s">
        <v>41</v>
      </c>
      <c r="AJ5" s="86"/>
      <c r="AK5" s="86"/>
      <c r="AL5" s="86"/>
      <c r="AM5" s="86" t="n">
        <v>0</v>
      </c>
      <c r="AN5" s="86" t="n">
        <v>2</v>
      </c>
      <c r="AO5" s="86" t="s">
        <v>41</v>
      </c>
      <c r="AP5" s="86" t="n">
        <v>0</v>
      </c>
      <c r="AQ5" s="86" t="n">
        <v>2</v>
      </c>
      <c r="AR5" s="86" t="s">
        <v>41</v>
      </c>
      <c r="AS5" s="86" t="n">
        <v>1</v>
      </c>
      <c r="AT5" s="86" t="n">
        <v>2</v>
      </c>
      <c r="AU5" s="86" t="s">
        <v>41</v>
      </c>
      <c r="AV5" s="86" t="n">
        <v>0</v>
      </c>
      <c r="AW5" s="86" t="n">
        <v>3</v>
      </c>
      <c r="AX5" s="86" t="s">
        <v>41</v>
      </c>
      <c r="AY5" s="86" t="n">
        <v>1</v>
      </c>
      <c r="AZ5" s="86" t="n">
        <v>2</v>
      </c>
      <c r="BA5" s="86" t="s">
        <v>41</v>
      </c>
      <c r="BB5" s="86" t="n">
        <v>0</v>
      </c>
      <c r="BC5" s="86" t="n">
        <v>2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66</v>
      </c>
      <c r="C6" s="80" t="s">
        <v>35</v>
      </c>
      <c r="D6" s="81" t="s">
        <v>68</v>
      </c>
      <c r="E6" s="80"/>
      <c r="F6" s="82" t="n">
        <v>1</v>
      </c>
      <c r="G6" s="82" t="n">
        <v>1</v>
      </c>
      <c r="H6" s="82" t="s">
        <v>37</v>
      </c>
      <c r="I6" s="82"/>
      <c r="J6" s="82"/>
      <c r="K6" s="82"/>
      <c r="L6" s="82" t="n">
        <v>3</v>
      </c>
      <c r="M6" s="82" t="n">
        <v>1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2</v>
      </c>
      <c r="S6" s="82" t="n">
        <v>0</v>
      </c>
      <c r="T6" s="82" t="s">
        <v>37</v>
      </c>
      <c r="U6" s="82" t="n">
        <v>0</v>
      </c>
      <c r="V6" s="82" t="n">
        <v>0</v>
      </c>
      <c r="W6" s="82" t="s">
        <v>38</v>
      </c>
      <c r="X6" s="82" t="n">
        <v>2</v>
      </c>
      <c r="Y6" s="82" t="n">
        <v>0</v>
      </c>
      <c r="Z6" s="82" t="s">
        <v>37</v>
      </c>
      <c r="AA6" s="82" t="n">
        <v>3</v>
      </c>
      <c r="AB6" s="82" t="n">
        <v>0</v>
      </c>
      <c r="AC6" s="82" t="s">
        <v>37</v>
      </c>
      <c r="AD6" s="82" t="n">
        <v>1</v>
      </c>
      <c r="AE6" s="82" t="n">
        <v>0</v>
      </c>
      <c r="AF6" s="82" t="s">
        <v>38</v>
      </c>
      <c r="AG6" s="82" t="n">
        <v>1</v>
      </c>
      <c r="AH6" s="82" t="n">
        <v>0</v>
      </c>
      <c r="AI6" s="82" t="s">
        <v>38</v>
      </c>
      <c r="AJ6" s="82"/>
      <c r="AK6" s="82"/>
      <c r="AL6" s="82"/>
      <c r="AM6" s="82" t="n">
        <v>2</v>
      </c>
      <c r="AN6" s="82" t="n">
        <v>1</v>
      </c>
      <c r="AO6" s="82" t="s">
        <v>37</v>
      </c>
      <c r="AP6" s="82" t="n">
        <v>3</v>
      </c>
      <c r="AQ6" s="82" t="n">
        <v>0</v>
      </c>
      <c r="AR6" s="82" t="s">
        <v>37</v>
      </c>
      <c r="AS6" s="82" t="n">
        <v>2</v>
      </c>
      <c r="AT6" s="82" t="n">
        <v>1</v>
      </c>
      <c r="AU6" s="82" t="s">
        <v>37</v>
      </c>
      <c r="AV6" s="82" t="n">
        <v>2</v>
      </c>
      <c r="AW6" s="82" t="n">
        <v>1</v>
      </c>
      <c r="AX6" s="82" t="s">
        <v>37</v>
      </c>
      <c r="AY6" s="82" t="n">
        <v>1</v>
      </c>
      <c r="AZ6" s="82" t="n">
        <v>0</v>
      </c>
      <c r="BA6" s="82" t="s">
        <v>38</v>
      </c>
      <c r="BB6" s="82" t="n">
        <v>1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69</v>
      </c>
      <c r="C7" s="84" t="s">
        <v>35</v>
      </c>
      <c r="D7" s="85" t="s">
        <v>67</v>
      </c>
      <c r="E7" s="84"/>
      <c r="F7" s="86" t="n">
        <v>2</v>
      </c>
      <c r="G7" s="86" t="n">
        <v>0</v>
      </c>
      <c r="H7" s="86" t="s">
        <v>37</v>
      </c>
      <c r="I7" s="86"/>
      <c r="J7" s="86"/>
      <c r="K7" s="86"/>
      <c r="L7" s="86" t="n">
        <v>3</v>
      </c>
      <c r="M7" s="86" t="n">
        <v>1</v>
      </c>
      <c r="N7" s="86" t="s">
        <v>37</v>
      </c>
      <c r="O7" s="86" t="n">
        <v>2</v>
      </c>
      <c r="P7" s="86" t="n">
        <v>0</v>
      </c>
      <c r="Q7" s="86" t="s">
        <v>37</v>
      </c>
      <c r="R7" s="86" t="n">
        <v>3</v>
      </c>
      <c r="S7" s="86" t="n">
        <v>1</v>
      </c>
      <c r="T7" s="86" t="s">
        <v>37</v>
      </c>
      <c r="U7" s="86" t="n">
        <v>2</v>
      </c>
      <c r="V7" s="86" t="n">
        <v>0</v>
      </c>
      <c r="W7" s="86" t="s">
        <v>37</v>
      </c>
      <c r="X7" s="86" t="n">
        <v>1</v>
      </c>
      <c r="Y7" s="86" t="n">
        <v>1</v>
      </c>
      <c r="Z7" s="86" t="s">
        <v>38</v>
      </c>
      <c r="AA7" s="86" t="n">
        <v>2</v>
      </c>
      <c r="AB7" s="86" t="n">
        <v>1</v>
      </c>
      <c r="AC7" s="86" t="s">
        <v>37</v>
      </c>
      <c r="AD7" s="86" t="n">
        <v>1</v>
      </c>
      <c r="AE7" s="86" t="n">
        <v>0</v>
      </c>
      <c r="AF7" s="86" t="s">
        <v>38</v>
      </c>
      <c r="AG7" s="86" t="n">
        <v>2</v>
      </c>
      <c r="AH7" s="86" t="n">
        <v>1</v>
      </c>
      <c r="AI7" s="86" t="s">
        <v>37</v>
      </c>
      <c r="AJ7" s="86"/>
      <c r="AK7" s="86"/>
      <c r="AL7" s="86"/>
      <c r="AM7" s="86" t="n">
        <v>2</v>
      </c>
      <c r="AN7" s="86" t="n">
        <v>0</v>
      </c>
      <c r="AO7" s="86" t="s">
        <v>37</v>
      </c>
      <c r="AP7" s="86" t="n">
        <v>1</v>
      </c>
      <c r="AQ7" s="86" t="n">
        <v>0</v>
      </c>
      <c r="AR7" s="86" t="s">
        <v>37</v>
      </c>
      <c r="AS7" s="86" t="n">
        <v>2</v>
      </c>
      <c r="AT7" s="86" t="n">
        <v>0</v>
      </c>
      <c r="AU7" s="86" t="s">
        <v>37</v>
      </c>
      <c r="AV7" s="86" t="n">
        <v>2</v>
      </c>
      <c r="AW7" s="86" t="n">
        <v>1</v>
      </c>
      <c r="AX7" s="86" t="s">
        <v>37</v>
      </c>
      <c r="AY7" s="86" t="n">
        <v>2</v>
      </c>
      <c r="AZ7" s="86" t="n">
        <v>2</v>
      </c>
      <c r="BA7" s="86" t="s">
        <v>37</v>
      </c>
      <c r="BB7" s="86" t="n">
        <v>2</v>
      </c>
      <c r="BC7" s="86" t="n">
        <v>1</v>
      </c>
      <c r="BD7" s="86" t="s">
        <v>37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67</v>
      </c>
      <c r="C8" s="80" t="s">
        <v>35</v>
      </c>
      <c r="D8" s="81" t="s">
        <v>68</v>
      </c>
      <c r="E8" s="80"/>
      <c r="F8" s="82" t="n">
        <v>0</v>
      </c>
      <c r="G8" s="82" t="n">
        <v>0</v>
      </c>
      <c r="H8" s="82" t="s">
        <v>38</v>
      </c>
      <c r="I8" s="82"/>
      <c r="J8" s="82"/>
      <c r="K8" s="82"/>
      <c r="L8" s="82" t="n">
        <v>1</v>
      </c>
      <c r="M8" s="82" t="n">
        <v>0</v>
      </c>
      <c r="N8" s="82" t="s">
        <v>38</v>
      </c>
      <c r="O8" s="82" t="n">
        <v>1</v>
      </c>
      <c r="P8" s="82" t="n">
        <v>0</v>
      </c>
      <c r="Q8" s="82" t="s">
        <v>37</v>
      </c>
      <c r="R8" s="82" t="n">
        <v>1</v>
      </c>
      <c r="S8" s="82" t="n">
        <v>1</v>
      </c>
      <c r="T8" s="82" t="s">
        <v>41</v>
      </c>
      <c r="U8" s="82" t="n">
        <v>1</v>
      </c>
      <c r="V8" s="82" t="n">
        <v>0</v>
      </c>
      <c r="W8" s="82" t="s">
        <v>37</v>
      </c>
      <c r="X8" s="82" t="n">
        <v>2</v>
      </c>
      <c r="Y8" s="82" t="n">
        <v>0</v>
      </c>
      <c r="Z8" s="82" t="s">
        <v>37</v>
      </c>
      <c r="AA8" s="82" t="n">
        <v>2</v>
      </c>
      <c r="AB8" s="82" t="n">
        <v>1</v>
      </c>
      <c r="AC8" s="82" t="s">
        <v>37</v>
      </c>
      <c r="AD8" s="82" t="n">
        <v>2</v>
      </c>
      <c r="AE8" s="82" t="n">
        <v>1</v>
      </c>
      <c r="AF8" s="82" t="s">
        <v>37</v>
      </c>
      <c r="AG8" s="82" t="n">
        <v>2</v>
      </c>
      <c r="AH8" s="82" t="n">
        <v>1</v>
      </c>
      <c r="AI8" s="82" t="s">
        <v>37</v>
      </c>
      <c r="AJ8" s="82"/>
      <c r="AK8" s="82"/>
      <c r="AL8" s="82"/>
      <c r="AM8" s="82" t="n">
        <v>1</v>
      </c>
      <c r="AN8" s="82" t="n">
        <v>1</v>
      </c>
      <c r="AO8" s="82" t="s">
        <v>38</v>
      </c>
      <c r="AP8" s="82" t="n">
        <v>2</v>
      </c>
      <c r="AQ8" s="82" t="n">
        <v>0</v>
      </c>
      <c r="AR8" s="82" t="s">
        <v>37</v>
      </c>
      <c r="AS8" s="82" t="n">
        <v>0</v>
      </c>
      <c r="AT8" s="82" t="n">
        <v>0</v>
      </c>
      <c r="AU8" s="82" t="s">
        <v>38</v>
      </c>
      <c r="AV8" s="82" t="n">
        <v>2</v>
      </c>
      <c r="AW8" s="82" t="n">
        <v>1</v>
      </c>
      <c r="AX8" s="82" t="s">
        <v>37</v>
      </c>
      <c r="AY8" s="82" t="n">
        <v>2</v>
      </c>
      <c r="AZ8" s="82" t="n">
        <v>1</v>
      </c>
      <c r="BA8" s="82" t="s">
        <v>37</v>
      </c>
      <c r="BB8" s="82" t="n">
        <v>2</v>
      </c>
      <c r="BC8" s="82" t="n">
        <v>1</v>
      </c>
      <c r="BD8" s="82" t="s">
        <v>37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69</v>
      </c>
      <c r="C9" s="84" t="s">
        <v>35</v>
      </c>
      <c r="D9" s="85" t="s">
        <v>66</v>
      </c>
      <c r="E9" s="84"/>
      <c r="F9" s="86" t="n">
        <v>1</v>
      </c>
      <c r="G9" s="86" t="n">
        <v>0</v>
      </c>
      <c r="H9" s="86" t="s">
        <v>37</v>
      </c>
      <c r="I9" s="86"/>
      <c r="J9" s="86"/>
      <c r="K9" s="86"/>
      <c r="L9" s="86" t="n">
        <v>3</v>
      </c>
      <c r="M9" s="86" t="n">
        <v>1</v>
      </c>
      <c r="N9" s="86" t="s">
        <v>37</v>
      </c>
      <c r="O9" s="86" t="n">
        <v>1</v>
      </c>
      <c r="P9" s="86" t="n">
        <v>1</v>
      </c>
      <c r="Q9" s="86" t="s">
        <v>38</v>
      </c>
      <c r="R9" s="86" t="n">
        <v>2</v>
      </c>
      <c r="S9" s="86" t="n">
        <v>3</v>
      </c>
      <c r="T9" s="86" t="s">
        <v>41</v>
      </c>
      <c r="U9" s="86" t="n">
        <v>2</v>
      </c>
      <c r="V9" s="86" t="n">
        <v>1</v>
      </c>
      <c r="W9" s="86" t="s">
        <v>37</v>
      </c>
      <c r="X9" s="86" t="n">
        <v>1</v>
      </c>
      <c r="Y9" s="86" t="n">
        <v>0</v>
      </c>
      <c r="Z9" s="86" t="s">
        <v>38</v>
      </c>
      <c r="AA9" s="86" t="n">
        <v>1</v>
      </c>
      <c r="AB9" s="86" t="n">
        <v>1</v>
      </c>
      <c r="AC9" s="86" t="s">
        <v>38</v>
      </c>
      <c r="AD9" s="86" t="n">
        <v>1</v>
      </c>
      <c r="AE9" s="86" t="n">
        <v>1</v>
      </c>
      <c r="AF9" s="86" t="s">
        <v>41</v>
      </c>
      <c r="AG9" s="86" t="n">
        <v>1</v>
      </c>
      <c r="AH9" s="86" t="n">
        <v>1</v>
      </c>
      <c r="AI9" s="86" t="s">
        <v>37</v>
      </c>
      <c r="AJ9" s="86"/>
      <c r="AK9" s="86"/>
      <c r="AL9" s="86"/>
      <c r="AM9" s="86" t="n">
        <v>1</v>
      </c>
      <c r="AN9" s="86" t="n">
        <v>1</v>
      </c>
      <c r="AO9" s="86" t="s">
        <v>38</v>
      </c>
      <c r="AP9" s="86" t="n">
        <v>2</v>
      </c>
      <c r="AQ9" s="86" t="n">
        <v>1</v>
      </c>
      <c r="AR9" s="86" t="s">
        <v>38</v>
      </c>
      <c r="AS9" s="86" t="n">
        <v>2</v>
      </c>
      <c r="AT9" s="86" t="n">
        <v>1</v>
      </c>
      <c r="AU9" s="86" t="s">
        <v>37</v>
      </c>
      <c r="AV9" s="86" t="n">
        <v>1</v>
      </c>
      <c r="AW9" s="86" t="n">
        <v>0</v>
      </c>
      <c r="AX9" s="86" t="s">
        <v>37</v>
      </c>
      <c r="AY9" s="86" t="n">
        <v>1</v>
      </c>
      <c r="AZ9" s="86" t="n">
        <v>0</v>
      </c>
      <c r="BA9" s="86" t="s">
        <v>38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69</v>
      </c>
      <c r="G12" s="90"/>
      <c r="H12" s="90"/>
      <c r="I12" s="91"/>
      <c r="J12" s="91"/>
      <c r="K12" s="91"/>
      <c r="L12" s="92" t="s">
        <v>69</v>
      </c>
      <c r="M12" s="92"/>
      <c r="N12" s="92"/>
      <c r="O12" s="93" t="s">
        <v>69</v>
      </c>
      <c r="P12" s="93"/>
      <c r="Q12" s="93"/>
      <c r="R12" s="94" t="s">
        <v>69</v>
      </c>
      <c r="S12" s="94"/>
      <c r="T12" s="94"/>
      <c r="U12" s="95" t="s">
        <v>69</v>
      </c>
      <c r="V12" s="95"/>
      <c r="W12" s="95"/>
      <c r="X12" s="96" t="s">
        <v>67</v>
      </c>
      <c r="Y12" s="96"/>
      <c r="Z12" s="96"/>
      <c r="AA12" s="97" t="s">
        <v>69</v>
      </c>
      <c r="AB12" s="97"/>
      <c r="AC12" s="97"/>
      <c r="AD12" s="98" t="s">
        <v>70</v>
      </c>
      <c r="AE12" s="98"/>
      <c r="AF12" s="98"/>
      <c r="AG12" s="99" t="s">
        <v>70</v>
      </c>
      <c r="AH12" s="99"/>
      <c r="AI12" s="99"/>
      <c r="AJ12" s="100"/>
      <c r="AK12" s="100"/>
      <c r="AL12" s="100"/>
      <c r="AM12" s="101" t="s">
        <v>69</v>
      </c>
      <c r="AN12" s="101"/>
      <c r="AO12" s="101"/>
      <c r="AP12" s="102" t="s">
        <v>69</v>
      </c>
      <c r="AQ12" s="102"/>
      <c r="AR12" s="102"/>
      <c r="AS12" s="103" t="s">
        <v>69</v>
      </c>
      <c r="AT12" s="103"/>
      <c r="AU12" s="103"/>
      <c r="AV12" s="104" t="s">
        <v>71</v>
      </c>
      <c r="AW12" s="104"/>
      <c r="AX12" s="104"/>
      <c r="AY12" s="105" t="s">
        <v>69</v>
      </c>
      <c r="AZ12" s="105"/>
      <c r="BA12" s="105"/>
      <c r="BB12" s="106" t="s">
        <v>69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66</v>
      </c>
      <c r="G13" s="90"/>
      <c r="H13" s="90"/>
      <c r="I13" s="91"/>
      <c r="J13" s="91"/>
      <c r="K13" s="91"/>
      <c r="L13" s="92" t="s">
        <v>72</v>
      </c>
      <c r="M13" s="92"/>
      <c r="N13" s="92"/>
      <c r="O13" s="93" t="s">
        <v>66</v>
      </c>
      <c r="P13" s="93"/>
      <c r="Q13" s="93"/>
      <c r="R13" s="94" t="s">
        <v>66</v>
      </c>
      <c r="S13" s="94"/>
      <c r="T13" s="94"/>
      <c r="U13" s="95" t="s">
        <v>67</v>
      </c>
      <c r="V13" s="95"/>
      <c r="W13" s="95"/>
      <c r="X13" s="96" t="s">
        <v>69</v>
      </c>
      <c r="Y13" s="96"/>
      <c r="Z13" s="96"/>
      <c r="AA13" s="97" t="s">
        <v>66</v>
      </c>
      <c r="AB13" s="97"/>
      <c r="AC13" s="97"/>
      <c r="AD13" s="98" t="s">
        <v>73</v>
      </c>
      <c r="AE13" s="98"/>
      <c r="AF13" s="98"/>
      <c r="AG13" s="99" t="s">
        <v>74</v>
      </c>
      <c r="AH13" s="99"/>
      <c r="AI13" s="99"/>
      <c r="AJ13" s="100"/>
      <c r="AK13" s="100"/>
      <c r="AL13" s="100"/>
      <c r="AM13" s="101" t="s">
        <v>66</v>
      </c>
      <c r="AN13" s="101"/>
      <c r="AO13" s="101"/>
      <c r="AP13" s="102" t="s">
        <v>66</v>
      </c>
      <c r="AQ13" s="102"/>
      <c r="AR13" s="102"/>
      <c r="AS13" s="103" t="s">
        <v>75</v>
      </c>
      <c r="AT13" s="103"/>
      <c r="AU13" s="103"/>
      <c r="AV13" s="104" t="s">
        <v>76</v>
      </c>
      <c r="AW13" s="104"/>
      <c r="AX13" s="104"/>
      <c r="AY13" s="105" t="s">
        <v>77</v>
      </c>
      <c r="AZ13" s="105"/>
      <c r="BA13" s="105"/>
      <c r="BB13" s="106" t="s">
        <v>66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205"/>
      <c r="G14" s="205"/>
      <c r="H14" s="205"/>
      <c r="I14" s="91"/>
      <c r="J14" s="91"/>
      <c r="K14" s="91"/>
      <c r="L14" s="92" t="s">
        <v>66</v>
      </c>
      <c r="M14" s="92"/>
      <c r="N14" s="92"/>
      <c r="O14" s="93" t="s">
        <v>67</v>
      </c>
      <c r="P14" s="93"/>
      <c r="Q14" s="93"/>
      <c r="R14" s="94" t="s">
        <v>68</v>
      </c>
      <c r="S14" s="94"/>
      <c r="T14" s="94"/>
      <c r="U14" s="95" t="s">
        <v>66</v>
      </c>
      <c r="V14" s="95"/>
      <c r="W14" s="95"/>
      <c r="X14" s="96" t="s">
        <v>66</v>
      </c>
      <c r="Y14" s="96"/>
      <c r="Z14" s="96"/>
      <c r="AA14" s="97" t="s">
        <v>67</v>
      </c>
      <c r="AB14" s="97"/>
      <c r="AC14" s="97"/>
      <c r="AD14" s="98" t="s">
        <v>78</v>
      </c>
      <c r="AE14" s="98"/>
      <c r="AF14" s="98"/>
      <c r="AG14" s="99" t="s">
        <v>79</v>
      </c>
      <c r="AH14" s="99"/>
      <c r="AI14" s="99"/>
      <c r="AJ14" s="100"/>
      <c r="AK14" s="100"/>
      <c r="AL14" s="100"/>
      <c r="AM14" s="101" t="s">
        <v>77</v>
      </c>
      <c r="AN14" s="101"/>
      <c r="AO14" s="101"/>
      <c r="AP14" s="102" t="s">
        <v>80</v>
      </c>
      <c r="AQ14" s="102"/>
      <c r="AR14" s="102"/>
      <c r="AS14" s="103" t="s">
        <v>81</v>
      </c>
      <c r="AT14" s="103"/>
      <c r="AU14" s="103"/>
      <c r="AV14" s="104" t="s">
        <v>82</v>
      </c>
      <c r="AW14" s="104"/>
      <c r="AX14" s="104"/>
      <c r="AY14" s="105" t="s">
        <v>68</v>
      </c>
      <c r="AZ14" s="105"/>
      <c r="BA14" s="105"/>
      <c r="BB14" s="106" t="s">
        <v>81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1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1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S17" s="113"/>
      <c r="T17" s="113"/>
      <c r="U17" s="118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V17" s="113"/>
      <c r="W17" s="113"/>
      <c r="X17" s="119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AB17" s="113"/>
      <c r="AC17" s="113"/>
      <c r="AD17" s="121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X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AE17" s="113"/>
      <c r="AF17" s="113"/>
      <c r="AG17" s="122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AQ17" s="113"/>
      <c r="AR17" s="113"/>
      <c r="AS17" s="126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AW17" s="113"/>
      <c r="AX17" s="113"/>
      <c r="AY17" s="128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2,BF4=1),3,0),0)+IF(AND(BE5&lt;&gt;"",BF5&lt;&gt;""),IF(AND(BE5=0,BF5=4),3,0),0)+IF(AND(BE6&lt;&gt;"",BF6&lt;&gt;""),IF(AND(BE6=1,BF6=1),3,0),0)+IF(AND(BE7&lt;&gt;"",BF7&lt;&gt;""),IF(AND(BE7=2,BF7=0),3,0),0)+IF(AND(BE8&lt;&gt;"",BF8&lt;&gt;""),IF(AND(BE8=0,BF8=0),3,0),0)+IF(AND(BE9&lt;&gt;"",BF9&lt;&gt;""),IF(AND(BE9=1,BF9=0)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1,BF4=1),3,0),0)+IF(AND(BE5&lt;&gt;"",BF5&lt;&gt;""),IF(AND(BE5=0,BF5=3),3,0),0)+IF(AND(BE6&lt;&gt;"",BF6&lt;&gt;""),IF(AND(BE6=3,BF6=1),3,0),0)+IF(AND(BE7&lt;&gt;"",BF7&lt;&gt;""),IF(AND(BE7=3,BF7=1),3,0),0)+IF(AND(BE8&lt;&gt;"",BF8&lt;&gt;""),IF(AND(BE8=1,BF8=0),3,0),0)+IF(AND(BE9&lt;&gt;"",BF9&lt;&gt;""),IF(AND(BE9=3,BF9=1),3,0),0)</f>
        <v>0</v>
      </c>
      <c r="M18" s="133"/>
      <c r="N18" s="133"/>
      <c r="O18" s="136" t="n">
        <f aca="false">IF(AND(BE4&lt;&gt;"",BF4&lt;&gt;""),IF(AND(BE4=2,BF4=1),3,0),0)+IF(AND(BE5&lt;&gt;"",BF5&lt;&gt;""),IF(AND(BE5=0,BF5=2),3,0),0)+IF(AND(BE6&lt;&gt;"",BF6&lt;&gt;""),IF(AND(BE6=2,BF6=0),3,0),0)+IF(AND(BE7&lt;&gt;"",BF7&lt;&gt;""),IF(AND(BE7=2,BF7=0),3,0),0)+IF(AND(BE8&lt;&gt;"",BF8&lt;&gt;""),IF(AND(BE8=1,BF8=0),3,0),0)+IF(AND(BE9&lt;&gt;"",BF9&lt;&gt;""),IF(AND(BE9=1,BF9=1),3,0),0)</f>
        <v>0</v>
      </c>
      <c r="P18" s="133"/>
      <c r="Q18" s="133"/>
      <c r="R18" s="137" t="n">
        <f aca="false">IF(AND(BE4&lt;&gt;"",BF4&lt;&gt;""),IF(AND(BE4=3,BF4=0),3,0),0)+IF(AND(BE5&lt;&gt;"",BF5&lt;&gt;""),IF(AND(BE5=1,BF5=3),3,0),0)+IF(AND(BE6&lt;&gt;"",BF6&lt;&gt;""),IF(AND(BE6=2,BF6=0),3,0),0)+IF(AND(BE7&lt;&gt;"",BF7&lt;&gt;""),IF(AND(BE7=3,BF7=1),3,0),0)+IF(AND(BE8&lt;&gt;"",BF8&lt;&gt;""),IF(AND(BE8=1,BF8=1),3,0),0)+IF(AND(BE9&lt;&gt;"",BF9&lt;&gt;""),IF(AND(BE9=2,BF9=3),3,0),0)</f>
        <v>0</v>
      </c>
      <c r="S18" s="133"/>
      <c r="T18" s="133"/>
      <c r="U18" s="138" t="n">
        <f aca="false">IF(AND(BE4&lt;&gt;"",BF4&lt;&gt;""),IF(AND(BE4=1,BF4=1),3,0),0)+IF(AND(BE5&lt;&gt;"",BF5&lt;&gt;""),IF(AND(BE5=1,BF5=3),3,0),0)+IF(AND(BE6&lt;&gt;"",BF6&lt;&gt;""),IF(AND(BE6=0,BF6=0),3,0),0)+IF(AND(BE7&lt;&gt;"",BF7&lt;&gt;""),IF(AND(BE7=2,BF7=0),3,0),0)+IF(AND(BE8&lt;&gt;"",BF8&lt;&gt;""),IF(AND(BE8=1,BF8=0),3,0),0)+IF(AND(BE9&lt;&gt;"",BF9&lt;&gt;""),IF(AND(BE9=2,BF9=1),3,0),0)</f>
        <v>0</v>
      </c>
      <c r="V18" s="133"/>
      <c r="W18" s="133"/>
      <c r="X18" s="139" t="n">
        <f aca="false">IF(AND(BE4&lt;&gt;"",BF4&lt;&gt;""),IF(AND(BE4=1,BF4=1),3,0),0)+IF(AND(BE5&lt;&gt;"",BF5&lt;&gt;""),IF(AND(BE5=0,BF5=3),3,0),0)+IF(AND(BE6&lt;&gt;"",BF6&lt;&gt;""),IF(AND(BE6=2,BF6=0),3,0),0)+IF(AND(BE7&lt;&gt;"",BF7&lt;&gt;""),IF(AND(BE7=1,BF7=1),3,0),0)+IF(AND(BE8&lt;&gt;"",BF8&lt;&gt;""),IF(AND(BE8=2,BF8=0),3,0),0)+IF(AND(BE9&lt;&gt;"",BF9&lt;&gt;""),IF(AND(BE9=1,BF9=0),3,0),0)</f>
        <v>0</v>
      </c>
      <c r="Y18" s="133"/>
      <c r="Z18" s="133"/>
      <c r="AA18" s="140" t="n">
        <f aca="false">IF(AND(BE4&lt;&gt;"",BF4&lt;&gt;""),IF(AND(BE4=2,BF4=0),3,0),0)+IF(AND(BE5&lt;&gt;"",BF5&lt;&gt;""),IF(AND(BE5=0,BF5=2),3,0),0)+IF(AND(BE6&lt;&gt;"",BF6&lt;&gt;""),IF(AND(BE6=3,BF6=0),3,0),0)+IF(AND(BE7&lt;&gt;"",BF7&lt;&gt;""),IF(AND(BE7=2,BF7=1),3,0),0)+IF(AND(BE8&lt;&gt;"",BF8&lt;&gt;""),IF(AND(BE8=2,BF8=1),3,0),0)+IF(AND(BE9&lt;&gt;"",BF9&lt;&gt;""),IF(AND(BE9=1,BF9=1),3,0),0)</f>
        <v>0</v>
      </c>
      <c r="AB18" s="133"/>
      <c r="AC18" s="133"/>
      <c r="AD18" s="141" t="n">
        <f aca="false">IF(AND(BE4&lt;&gt;"",BF4&lt;&gt;""),IF(AND(BE4=1,BF4=1),3,0),0)+IF(AND(BE5&lt;&gt;"",BF5&lt;&gt;""),IF(AND(BE5=0,BF5=2),3,0),0)+IF(AND(BE6&lt;&gt;"",BF6&lt;&gt;""),IF(AND(BE6=1,BF6=0),3,0),0)+IF(AND(BE7&lt;&gt;"",BF7&lt;&gt;""),IF(AND(BE7=1,BF7=0),3,0),0)+IF(AND(BE8&lt;&gt;"",BF8&lt;&gt;""),IF(AND(BE8=2,BF8=1),3,0),0)+IF(AND(BE9&lt;&gt;"",BF9&lt;&gt;""),IF(AND(BE9=1,BF9=1),3,0),0)</f>
        <v>0</v>
      </c>
      <c r="AE18" s="133"/>
      <c r="AF18" s="133"/>
      <c r="AG18" s="142" t="n">
        <f aca="false">IF(AND(BE4&lt;&gt;"",BF4&lt;&gt;""),IF(AND(BE4=2,BF4=2),3,0),0)+IF(AND(BE5&lt;&gt;"",BF5&lt;&gt;""),IF(AND(BE5=0,BF5=2),3,0),0)+IF(AND(BE6&lt;&gt;"",BF6&lt;&gt;""),IF(AND(BE6=1,BF6=0),3,0),0)+IF(AND(BE7&lt;&gt;"",BF7&lt;&gt;""),IF(AND(BE7=2,BF7=1),3,0),0)+IF(AND(BE8&lt;&gt;"",BF8&lt;&gt;""),IF(AND(BE8=2,BF8=1),3,0),0)+IF(AND(BE9&lt;&gt;"",BF9&lt;&gt;""),IF(AND(BE9=1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1,BF4=1),3,0),0)+IF(AND(BE5&lt;&gt;"",BF5&lt;&gt;""),IF(AND(BE5=0,BF5=2),3,0),0)+IF(AND(BE6&lt;&gt;"",BF6&lt;&gt;""),IF(AND(BE6=2,BF6=1),3,0),0)+IF(AND(BE7&lt;&gt;"",BF7&lt;&gt;""),IF(AND(BE7=2,BF7=0),3,0),0)+IF(AND(BE8&lt;&gt;"",BF8&lt;&gt;""),IF(AND(BE8=1,BF8=1),3,0),0)+IF(AND(BE9&lt;&gt;"",BF9&lt;&gt;""),IF(AND(BE9=1,BF9=1),3,0),0)</f>
        <v>0</v>
      </c>
      <c r="AN18" s="133"/>
      <c r="AO18" s="133"/>
      <c r="AP18" s="145" t="n">
        <f aca="false">IF(AND(BE4&lt;&gt;"",BF4&lt;&gt;""),IF(AND(BE4=1,BF4=1),3,0),0)+IF(AND(BE5&lt;&gt;"",BF5&lt;&gt;""),IF(AND(BE5=0,BF5=2),3,0),0)+IF(AND(BE6&lt;&gt;"",BF6&lt;&gt;""),IF(AND(BE6=3,BF6=0),3,0),0)+IF(AND(BE7&lt;&gt;"",BF7&lt;&gt;""),IF(AND(BE7=1,BF7=0),3,0),0)+IF(AND(BE8&lt;&gt;"",BF8&lt;&gt;""),IF(AND(BE8=2,BF8=0),3,0),0)+IF(AND(BE9&lt;&gt;"",BF9&lt;&gt;""),IF(AND(BE9=2,BF9=1),3,0),0)</f>
        <v>0</v>
      </c>
      <c r="AQ18" s="133"/>
      <c r="AR18" s="133"/>
      <c r="AS18" s="146" t="n">
        <f aca="false">IF(AND(BE4&lt;&gt;"",BF4&lt;&gt;""),IF(AND(BE4=1,BF4=1),3,0),0)+IF(AND(BE5&lt;&gt;"",BF5&lt;&gt;""),IF(AND(BE5=1,BF5=2),3,0),0)+IF(AND(BE6&lt;&gt;"",BF6&lt;&gt;""),IF(AND(BE6=2,BF6=1),3,0),0)+IF(AND(BE7&lt;&gt;"",BF7&lt;&gt;""),IF(AND(BE7=2,BF7=0),3,0),0)+IF(AND(BE8&lt;&gt;"",BF8&lt;&gt;""),IF(AND(BE8=0,BF8=0),3,0),0)+IF(AND(BE9&lt;&gt;"",BF9&lt;&gt;""),IF(AND(BE9=2,BF9=1),3,0),0)</f>
        <v>0</v>
      </c>
      <c r="AT18" s="133"/>
      <c r="AU18" s="133"/>
      <c r="AV18" s="147" t="n">
        <f aca="false">IF(AND(BE4&lt;&gt;"",BF4&lt;&gt;""),IF(AND(BE4=1,BF4=2),3,0),0)+IF(AND(BE5&lt;&gt;"",BF5&lt;&gt;""),IF(AND(BE5=0,BF5=3),3,0),0)+IF(AND(BE6&lt;&gt;"",BF6&lt;&gt;""),IF(AND(BE6=2,BF6=1),3,0),0)+IF(AND(BE7&lt;&gt;"",BF7&lt;&gt;""),IF(AND(BE7=2,BF7=1),3,0),0)+IF(AND(BE8&lt;&gt;"",BF8&lt;&gt;""),IF(AND(BE8=2,BF8=1),3,0),0)+IF(AND(BE9&lt;&gt;"",BF9&lt;&gt;""),IF(AND(BE9=1,BF9=0),3,0),0)</f>
        <v>0</v>
      </c>
      <c r="AW18" s="133"/>
      <c r="AX18" s="133"/>
      <c r="AY18" s="148" t="n">
        <f aca="false">IF(AND(BE4&lt;&gt;"",BF4&lt;&gt;""),IF(AND(BE4=0,BF4=1),3,0),0)+IF(AND(BE5&lt;&gt;"",BF5&lt;&gt;""),IF(AND(BE5=1,BF5=2),3,0),0)+IF(AND(BE6&lt;&gt;"",BF6&lt;&gt;""),IF(AND(BE6=1,BF6=0),3,0),0)+IF(AND(BE7&lt;&gt;"",BF7&lt;&gt;""),IF(AND(BE7=2,BF7=2),3,0),0)+IF(AND(BE8&lt;&gt;"",BF8&lt;&gt;""),IF(AND(BE8=2,BF8=1),3,0),0)+IF(AND(BE9&lt;&gt;"",BF9&lt;&gt;""),IF(AND(BE9=1,BF9=0),3,0),0)</f>
        <v>0</v>
      </c>
      <c r="AZ18" s="133"/>
      <c r="BA18" s="133"/>
      <c r="BB18" s="149" t="n">
        <f aca="false">IF(AND(BE4&lt;&gt;"",BF4&lt;&gt;""),IF(AND(BE4=2,BF4=1),3,0),0)+IF(AND(BE5&lt;&gt;"",BF5&lt;&gt;""),IF(AND(BE5=0,BF5=2),3,0),0)+IF(AND(BE6&lt;&gt;"",BF6&lt;&gt;""),IF(AND(BE6=1,BF6=0),3,0),0)+IF(AND(BE7&lt;&gt;"",BF7&lt;&gt;""),IF(AND(BE7=2,BF7=1),3,0),0)+IF(AND(BE8&lt;&gt;"",BF8&lt;&gt;""),IF(AND(BE8=2,BF8=1)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IF(C12&lt;&gt;"",IF(C12="Suiza",4,0),0)+IF(C13&lt;&gt;"",IF(C13="Canadá",2,0),0)+0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IF(C12&lt;&gt;"",IF(C12="Suiza",4,0),0)+IF(C13&lt;&gt;"",IF(C13="Bosnia -Herz",2,0),0)+IF(C14&lt;&gt;"",IF(C14="Canadá",1,0),0)</f>
        <v>0</v>
      </c>
      <c r="M19" s="152"/>
      <c r="N19" s="152"/>
      <c r="O19" s="155" t="n">
        <f aca="false">IF(C12&lt;&gt;"",IF(C12="Suiza",4,0),0)+IF(C13&lt;&gt;"",IF(C13="Canadá",2,0),0)+IF(C14&lt;&gt;"",IF(C14="Bosnia-Herz.",1,0),0)</f>
        <v>0</v>
      </c>
      <c r="P19" s="152"/>
      <c r="Q19" s="152"/>
      <c r="R19" s="156" t="n">
        <f aca="false">IF(C12&lt;&gt;"",IF(C12="Suiza",4,0),0)+IF(C13&lt;&gt;"",IF(C13="Canadá",2,0),0)+IF(C14&lt;&gt;"",IF(C14="Qatar",1,0),0)</f>
        <v>0</v>
      </c>
      <c r="S19" s="152"/>
      <c r="T19" s="152"/>
      <c r="U19" s="157" t="n">
        <f aca="false">IF(C12&lt;&gt;"",IF(C12="Suiza",4,0),0)+IF(C13&lt;&gt;"",IF(C13="Bosnia-Herz.",2,0),0)+IF(C14&lt;&gt;"",IF(C14="Canadá",1,0),0)</f>
        <v>0</v>
      </c>
      <c r="V19" s="152"/>
      <c r="W19" s="152"/>
      <c r="X19" s="158" t="n">
        <f aca="false">IF(C12&lt;&gt;"",IF(C12="Bosnia-Herz.",4,0),0)+IF(C13&lt;&gt;"",IF(C13="Suiza",2,0),0)+IF(C14&lt;&gt;"",IF(C14="Canadá",1,0),0)</f>
        <v>0</v>
      </c>
      <c r="Y19" s="152"/>
      <c r="Z19" s="152"/>
      <c r="AA19" s="159" t="n">
        <f aca="false">IF(C12&lt;&gt;"",IF(C12="Suiza",4,0),0)+IF(C13&lt;&gt;"",IF(C13="Canadá",2,0),0)+IF(C14&lt;&gt;"",IF(C14="Bosnia-Herz.",1,0),0)</f>
        <v>0</v>
      </c>
      <c r="AB19" s="152"/>
      <c r="AC19" s="152"/>
      <c r="AD19" s="160" t="n">
        <f aca="false">IF(C12&lt;&gt;"",IF(C12="SUIZA",4,0),0)+IF(C13&lt;&gt;"",IF(C13="BOSNIA",2,0),0)+IF(C14&lt;&gt;"",IF(C14="CANADA",1,0),0)</f>
        <v>0</v>
      </c>
      <c r="AE19" s="152"/>
      <c r="AF19" s="152"/>
      <c r="AG19" s="161" t="n">
        <f aca="false">IF(C12&lt;&gt;"",IF(C12="SUIZA",4,0),0)+IF(C13&lt;&gt;"",IF(C13="CANADÁ",2,0),0)+IF(C14&lt;&gt;"",IF(C14="BOSNIA-HERZEGOVINA",1,0),0)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IF(C12&lt;&gt;"",IF(C12="Suiza",4,0),0)+IF(C13&lt;&gt;"",IF(C13="Canadá",2,0),0)+IF(C14&lt;&gt;"",IF(C14="Bosnia",1,0),0)</f>
        <v>0</v>
      </c>
      <c r="AN19" s="152"/>
      <c r="AO19" s="152"/>
      <c r="AP19" s="164" t="n">
        <f aca="false">IF(C12&lt;&gt;"",IF(C12="Suiza",4,0),0)+IF(C13&lt;&gt;"",IF(C13="Canadá",2,0),0)+IF(C14&lt;&gt;"",IF(C14="Bosnia-Herzegovina",1,0),0)</f>
        <v>0</v>
      </c>
      <c r="AQ19" s="152"/>
      <c r="AR19" s="152"/>
      <c r="AS19" s="165" t="n">
        <f aca="false">IF(C12&lt;&gt;"",IF(C12="Suiza",4,0),0)+IF(C13&lt;&gt;"",IF(C13="Canada",2,0),0)+IF(C14&lt;&gt;"",IF(C14="Bosnia-Herz",1,0),0)</f>
        <v>0</v>
      </c>
      <c r="AT19" s="152"/>
      <c r="AU19" s="152"/>
      <c r="AV19" s="166" t="n">
        <f aca="false">IF(C12&lt;&gt;"",IF(C12="suiza",4,0),0)+IF(C13&lt;&gt;"",IF(C13="canada",2,0),0)+IF(C14&lt;&gt;"",IF(C14="bosnia Herzegovina",1,0),0)</f>
        <v>0</v>
      </c>
      <c r="AW19" s="152"/>
      <c r="AX19" s="152"/>
      <c r="AY19" s="167" t="n">
        <f aca="false">IF(C12&lt;&gt;"",IF(C12="Suiza",4,0),0)+IF(C13&lt;&gt;"",IF(C13="Bosnia",2,0),0)+IF(C14&lt;&gt;"",IF(C14="Qatar",1,0),0)</f>
        <v>0</v>
      </c>
      <c r="AZ19" s="152"/>
      <c r="BA19" s="152"/>
      <c r="BB19" s="168" t="n">
        <f aca="false">IF(C12&lt;&gt;"",IF(C12="Suiza",4,0),0)+IF(C13&lt;&gt;"",IF(C13="Canadá",2,0),0)+IF(C14&lt;&gt;"",IF(C14="Bosnia-Herz",1,0),0)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83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84</v>
      </c>
      <c r="C4" s="80" t="s">
        <v>35</v>
      </c>
      <c r="D4" s="81" t="s">
        <v>85</v>
      </c>
      <c r="E4" s="80"/>
      <c r="F4" s="82" t="n">
        <v>2</v>
      </c>
      <c r="G4" s="82" t="n">
        <v>1</v>
      </c>
      <c r="H4" s="82" t="s">
        <v>37</v>
      </c>
      <c r="I4" s="82"/>
      <c r="J4" s="82"/>
      <c r="K4" s="82"/>
      <c r="L4" s="82" t="n">
        <v>3</v>
      </c>
      <c r="M4" s="82" t="n">
        <v>1</v>
      </c>
      <c r="N4" s="82" t="s">
        <v>37</v>
      </c>
      <c r="O4" s="82" t="n">
        <v>2</v>
      </c>
      <c r="P4" s="82" t="n">
        <v>0</v>
      </c>
      <c r="Q4" s="82" t="s">
        <v>37</v>
      </c>
      <c r="R4" s="82" t="n">
        <v>2</v>
      </c>
      <c r="S4" s="82" t="n">
        <v>3</v>
      </c>
      <c r="T4" s="82" t="s">
        <v>41</v>
      </c>
      <c r="U4" s="82" t="n">
        <v>2</v>
      </c>
      <c r="V4" s="82" t="n">
        <v>1</v>
      </c>
      <c r="W4" s="82" t="s">
        <v>38</v>
      </c>
      <c r="X4" s="82" t="n">
        <v>0</v>
      </c>
      <c r="Y4" s="82" t="n">
        <v>1</v>
      </c>
      <c r="Z4" s="82" t="s">
        <v>38</v>
      </c>
      <c r="AA4" s="82" t="n">
        <v>2</v>
      </c>
      <c r="AB4" s="82" t="n">
        <v>0</v>
      </c>
      <c r="AC4" s="82" t="s">
        <v>37</v>
      </c>
      <c r="AD4" s="82" t="n">
        <v>2</v>
      </c>
      <c r="AE4" s="82" t="n">
        <v>2</v>
      </c>
      <c r="AF4" s="82" t="s">
        <v>37</v>
      </c>
      <c r="AG4" s="82" t="n">
        <v>2</v>
      </c>
      <c r="AH4" s="82" t="n">
        <v>1</v>
      </c>
      <c r="AI4" s="82" t="s">
        <v>37</v>
      </c>
      <c r="AJ4" s="82"/>
      <c r="AK4" s="82"/>
      <c r="AL4" s="82"/>
      <c r="AM4" s="82" t="n">
        <v>3</v>
      </c>
      <c r="AN4" s="82" t="n">
        <v>1</v>
      </c>
      <c r="AO4" s="82" t="s">
        <v>37</v>
      </c>
      <c r="AP4" s="82" t="n">
        <v>3</v>
      </c>
      <c r="AQ4" s="82" t="n">
        <v>1</v>
      </c>
      <c r="AR4" s="82" t="s">
        <v>37</v>
      </c>
      <c r="AS4" s="82" t="n">
        <v>3</v>
      </c>
      <c r="AT4" s="82" t="n">
        <v>1</v>
      </c>
      <c r="AU4" s="82" t="s">
        <v>37</v>
      </c>
      <c r="AV4" s="82" t="n">
        <v>3</v>
      </c>
      <c r="AW4" s="82" t="n">
        <v>1</v>
      </c>
      <c r="AX4" s="82" t="s">
        <v>37</v>
      </c>
      <c r="AY4" s="82" t="n">
        <v>2</v>
      </c>
      <c r="AZ4" s="82" t="n">
        <v>2</v>
      </c>
      <c r="BA4" s="82" t="s">
        <v>41</v>
      </c>
      <c r="BB4" s="82" t="n">
        <v>2</v>
      </c>
      <c r="BC4" s="82" t="n">
        <v>1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86</v>
      </c>
      <c r="C5" s="84" t="s">
        <v>35</v>
      </c>
      <c r="D5" s="85" t="s">
        <v>87</v>
      </c>
      <c r="E5" s="84"/>
      <c r="F5" s="86" t="n">
        <v>0</v>
      </c>
      <c r="G5" s="86" t="n">
        <v>2</v>
      </c>
      <c r="H5" s="86" t="s">
        <v>41</v>
      </c>
      <c r="I5" s="86"/>
      <c r="J5" s="86"/>
      <c r="K5" s="86"/>
      <c r="L5" s="86" t="n">
        <v>0</v>
      </c>
      <c r="M5" s="86" t="n">
        <v>1</v>
      </c>
      <c r="N5" s="86" t="s">
        <v>41</v>
      </c>
      <c r="O5" s="86" t="n">
        <v>0</v>
      </c>
      <c r="P5" s="86" t="n">
        <v>2</v>
      </c>
      <c r="Q5" s="86" t="s">
        <v>41</v>
      </c>
      <c r="R5" s="86" t="n">
        <v>1</v>
      </c>
      <c r="S5" s="86" t="n">
        <v>3</v>
      </c>
      <c r="T5" s="86" t="s">
        <v>41</v>
      </c>
      <c r="U5" s="86" t="n">
        <v>0</v>
      </c>
      <c r="V5" s="86" t="n">
        <v>4</v>
      </c>
      <c r="W5" s="86" t="s">
        <v>41</v>
      </c>
      <c r="X5" s="86" t="n">
        <v>0</v>
      </c>
      <c r="Y5" s="86" t="n">
        <v>3</v>
      </c>
      <c r="Z5" s="86" t="s">
        <v>41</v>
      </c>
      <c r="AA5" s="86" t="n">
        <v>0</v>
      </c>
      <c r="AB5" s="86" t="n">
        <v>2</v>
      </c>
      <c r="AC5" s="86" t="s">
        <v>41</v>
      </c>
      <c r="AD5" s="86" t="n">
        <v>0</v>
      </c>
      <c r="AE5" s="86" t="n">
        <v>3</v>
      </c>
      <c r="AF5" s="86" t="s">
        <v>41</v>
      </c>
      <c r="AG5" s="86" t="n">
        <v>1</v>
      </c>
      <c r="AH5" s="86" t="n">
        <v>1</v>
      </c>
      <c r="AI5" s="86" t="s">
        <v>37</v>
      </c>
      <c r="AJ5" s="86"/>
      <c r="AK5" s="86"/>
      <c r="AL5" s="86"/>
      <c r="AM5" s="86" t="n">
        <v>1</v>
      </c>
      <c r="AN5" s="86" t="n">
        <v>2</v>
      </c>
      <c r="AO5" s="86" t="s">
        <v>41</v>
      </c>
      <c r="AP5" s="86" t="n">
        <v>0</v>
      </c>
      <c r="AQ5" s="86" t="n">
        <v>2</v>
      </c>
      <c r="AR5" s="86" t="s">
        <v>41</v>
      </c>
      <c r="AS5" s="86" t="n">
        <v>0</v>
      </c>
      <c r="AT5" s="86" t="n">
        <v>2</v>
      </c>
      <c r="AU5" s="86" t="s">
        <v>41</v>
      </c>
      <c r="AV5" s="86" t="n">
        <v>1</v>
      </c>
      <c r="AW5" s="86" t="n">
        <v>2</v>
      </c>
      <c r="AX5" s="86" t="s">
        <v>41</v>
      </c>
      <c r="AY5" s="86" t="n">
        <v>0</v>
      </c>
      <c r="AZ5" s="86" t="n">
        <v>1</v>
      </c>
      <c r="BA5" s="86" t="s">
        <v>41</v>
      </c>
      <c r="BB5" s="86" t="n">
        <v>0</v>
      </c>
      <c r="BC5" s="86" t="n">
        <v>2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84</v>
      </c>
      <c r="C6" s="80" t="s">
        <v>35</v>
      </c>
      <c r="D6" s="81" t="s">
        <v>86</v>
      </c>
      <c r="E6" s="80"/>
      <c r="F6" s="82" t="n">
        <v>4</v>
      </c>
      <c r="G6" s="82" t="n">
        <v>0</v>
      </c>
      <c r="H6" s="82" t="s">
        <v>37</v>
      </c>
      <c r="I6" s="82"/>
      <c r="J6" s="82"/>
      <c r="K6" s="82"/>
      <c r="L6" s="82" t="n">
        <v>5</v>
      </c>
      <c r="M6" s="82" t="n">
        <v>1</v>
      </c>
      <c r="N6" s="82" t="s">
        <v>37</v>
      </c>
      <c r="O6" s="82" t="n">
        <v>3</v>
      </c>
      <c r="P6" s="82" t="n">
        <v>0</v>
      </c>
      <c r="Q6" s="82" t="s">
        <v>37</v>
      </c>
      <c r="R6" s="82" t="n">
        <v>6</v>
      </c>
      <c r="S6" s="82" t="n">
        <v>1</v>
      </c>
      <c r="T6" s="82" t="s">
        <v>37</v>
      </c>
      <c r="U6" s="82" t="n">
        <v>5</v>
      </c>
      <c r="V6" s="82" t="n">
        <v>0</v>
      </c>
      <c r="W6" s="82" t="s">
        <v>37</v>
      </c>
      <c r="X6" s="82" t="n">
        <v>5</v>
      </c>
      <c r="Y6" s="82" t="n">
        <v>0</v>
      </c>
      <c r="Z6" s="82" t="s">
        <v>37</v>
      </c>
      <c r="AA6" s="82" t="n">
        <v>4</v>
      </c>
      <c r="AB6" s="82" t="n">
        <v>0</v>
      </c>
      <c r="AC6" s="82" t="s">
        <v>37</v>
      </c>
      <c r="AD6" s="82" t="n">
        <v>2</v>
      </c>
      <c r="AE6" s="82" t="n">
        <v>0</v>
      </c>
      <c r="AF6" s="82" t="s">
        <v>37</v>
      </c>
      <c r="AG6" s="82" t="n">
        <v>3</v>
      </c>
      <c r="AH6" s="82" t="n">
        <v>1</v>
      </c>
      <c r="AI6" s="82" t="s">
        <v>37</v>
      </c>
      <c r="AJ6" s="82"/>
      <c r="AK6" s="82"/>
      <c r="AL6" s="82"/>
      <c r="AM6" s="82" t="n">
        <v>3</v>
      </c>
      <c r="AN6" s="82" t="n">
        <v>0</v>
      </c>
      <c r="AO6" s="82" t="s">
        <v>37</v>
      </c>
      <c r="AP6" s="82" t="n">
        <v>4</v>
      </c>
      <c r="AQ6" s="82" t="n">
        <v>0</v>
      </c>
      <c r="AR6" s="82" t="s">
        <v>37</v>
      </c>
      <c r="AS6" s="82" t="n">
        <v>4</v>
      </c>
      <c r="AT6" s="82" t="n">
        <v>1</v>
      </c>
      <c r="AU6" s="82" t="s">
        <v>37</v>
      </c>
      <c r="AV6" s="82" t="n">
        <v>4</v>
      </c>
      <c r="AW6" s="82" t="n">
        <v>0</v>
      </c>
      <c r="AX6" s="82" t="s">
        <v>37</v>
      </c>
      <c r="AY6" s="82" t="n">
        <v>3</v>
      </c>
      <c r="AZ6" s="82" t="n">
        <v>0</v>
      </c>
      <c r="BA6" s="82" t="s">
        <v>37</v>
      </c>
      <c r="BB6" s="82" t="n">
        <v>4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87</v>
      </c>
      <c r="C7" s="84" t="s">
        <v>35</v>
      </c>
      <c r="D7" s="85" t="s">
        <v>85</v>
      </c>
      <c r="E7" s="84"/>
      <c r="F7" s="86" t="n">
        <v>0</v>
      </c>
      <c r="G7" s="86" t="n">
        <v>3</v>
      </c>
      <c r="H7" s="86" t="s">
        <v>41</v>
      </c>
      <c r="I7" s="86"/>
      <c r="J7" s="86"/>
      <c r="K7" s="86"/>
      <c r="L7" s="86" t="n">
        <v>0</v>
      </c>
      <c r="M7" s="86" t="n">
        <v>3</v>
      </c>
      <c r="N7" s="86" t="s">
        <v>41</v>
      </c>
      <c r="O7" s="86" t="n">
        <v>1</v>
      </c>
      <c r="P7" s="86" t="n">
        <v>2</v>
      </c>
      <c r="Q7" s="86" t="s">
        <v>41</v>
      </c>
      <c r="R7" s="86" t="n">
        <v>1</v>
      </c>
      <c r="S7" s="86" t="n">
        <v>4</v>
      </c>
      <c r="T7" s="86" t="s">
        <v>41</v>
      </c>
      <c r="U7" s="86" t="n">
        <v>1</v>
      </c>
      <c r="V7" s="86" t="n">
        <v>2</v>
      </c>
      <c r="W7" s="86" t="s">
        <v>41</v>
      </c>
      <c r="X7" s="86" t="n">
        <v>1</v>
      </c>
      <c r="Y7" s="86" t="n">
        <v>1</v>
      </c>
      <c r="Z7" s="86" t="s">
        <v>38</v>
      </c>
      <c r="AA7" s="86" t="n">
        <v>0</v>
      </c>
      <c r="AB7" s="86" t="n">
        <v>1</v>
      </c>
      <c r="AC7" s="86" t="s">
        <v>41</v>
      </c>
      <c r="AD7" s="86" t="n">
        <v>1</v>
      </c>
      <c r="AE7" s="86" t="n">
        <v>2</v>
      </c>
      <c r="AF7" s="86" t="s">
        <v>38</v>
      </c>
      <c r="AG7" s="86" t="n">
        <v>1</v>
      </c>
      <c r="AH7" s="86" t="n">
        <v>2</v>
      </c>
      <c r="AI7" s="86" t="s">
        <v>41</v>
      </c>
      <c r="AJ7" s="86"/>
      <c r="AK7" s="86"/>
      <c r="AL7" s="86"/>
      <c r="AM7" s="86" t="n">
        <v>1</v>
      </c>
      <c r="AN7" s="86" t="n">
        <v>1</v>
      </c>
      <c r="AO7" s="86" t="s">
        <v>38</v>
      </c>
      <c r="AP7" s="86" t="n">
        <v>1</v>
      </c>
      <c r="AQ7" s="86" t="n">
        <v>2</v>
      </c>
      <c r="AR7" s="86" t="s">
        <v>41</v>
      </c>
      <c r="AS7" s="86" t="n">
        <v>0</v>
      </c>
      <c r="AT7" s="86" t="n">
        <v>2</v>
      </c>
      <c r="AU7" s="86" t="s">
        <v>41</v>
      </c>
      <c r="AV7" s="86" t="n">
        <v>1</v>
      </c>
      <c r="AW7" s="86" t="n">
        <v>2</v>
      </c>
      <c r="AX7" s="86" t="s">
        <v>41</v>
      </c>
      <c r="AY7" s="86" t="n">
        <v>1</v>
      </c>
      <c r="AZ7" s="86" t="n">
        <v>3</v>
      </c>
      <c r="BA7" s="86" t="s">
        <v>41</v>
      </c>
      <c r="BB7" s="86" t="n">
        <v>1</v>
      </c>
      <c r="BC7" s="86" t="n">
        <v>1</v>
      </c>
      <c r="BD7" s="86" t="s">
        <v>38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85</v>
      </c>
      <c r="C8" s="80" t="s">
        <v>35</v>
      </c>
      <c r="D8" s="81" t="s">
        <v>86</v>
      </c>
      <c r="E8" s="80"/>
      <c r="F8" s="82" t="n">
        <v>2</v>
      </c>
      <c r="G8" s="82" t="n">
        <v>0</v>
      </c>
      <c r="H8" s="82" t="s">
        <v>37</v>
      </c>
      <c r="I8" s="82"/>
      <c r="J8" s="82"/>
      <c r="K8" s="82"/>
      <c r="L8" s="82" t="n">
        <v>4</v>
      </c>
      <c r="M8" s="82" t="n">
        <v>0</v>
      </c>
      <c r="N8" s="82" t="s">
        <v>37</v>
      </c>
      <c r="O8" s="82" t="n">
        <v>2</v>
      </c>
      <c r="P8" s="82" t="n">
        <v>0</v>
      </c>
      <c r="Q8" s="82" t="s">
        <v>37</v>
      </c>
      <c r="R8" s="82" t="n">
        <v>5</v>
      </c>
      <c r="S8" s="82" t="n">
        <v>1</v>
      </c>
      <c r="T8" s="82" t="s">
        <v>37</v>
      </c>
      <c r="U8" s="82" t="n">
        <v>4</v>
      </c>
      <c r="V8" s="82" t="n">
        <v>0</v>
      </c>
      <c r="W8" s="82" t="s">
        <v>37</v>
      </c>
      <c r="X8" s="82" t="n">
        <v>4</v>
      </c>
      <c r="Y8" s="82" t="n">
        <v>0</v>
      </c>
      <c r="Z8" s="82" t="s">
        <v>37</v>
      </c>
      <c r="AA8" s="82" t="n">
        <v>3</v>
      </c>
      <c r="AB8" s="82" t="n">
        <v>0</v>
      </c>
      <c r="AC8" s="82" t="s">
        <v>37</v>
      </c>
      <c r="AD8" s="82" t="n">
        <v>3</v>
      </c>
      <c r="AE8" s="82" t="n">
        <v>0</v>
      </c>
      <c r="AF8" s="82" t="s">
        <v>37</v>
      </c>
      <c r="AG8" s="82" t="n">
        <v>3</v>
      </c>
      <c r="AH8" s="82" t="n">
        <v>0</v>
      </c>
      <c r="AI8" s="82" t="s">
        <v>37</v>
      </c>
      <c r="AJ8" s="82"/>
      <c r="AK8" s="82"/>
      <c r="AL8" s="82"/>
      <c r="AM8" s="82" t="n">
        <v>2</v>
      </c>
      <c r="AN8" s="82" t="n">
        <v>1</v>
      </c>
      <c r="AO8" s="82" t="s">
        <v>37</v>
      </c>
      <c r="AP8" s="82" t="n">
        <v>3</v>
      </c>
      <c r="AQ8" s="82" t="n">
        <v>0</v>
      </c>
      <c r="AR8" s="82" t="s">
        <v>37</v>
      </c>
      <c r="AS8" s="82" t="n">
        <v>2</v>
      </c>
      <c r="AT8" s="82" t="n">
        <v>0</v>
      </c>
      <c r="AU8" s="82" t="s">
        <v>37</v>
      </c>
      <c r="AV8" s="82" t="n">
        <v>3</v>
      </c>
      <c r="AW8" s="82" t="n">
        <v>0</v>
      </c>
      <c r="AX8" s="82" t="s">
        <v>37</v>
      </c>
      <c r="AY8" s="82" t="n">
        <v>4</v>
      </c>
      <c r="AZ8" s="82" t="n">
        <v>0</v>
      </c>
      <c r="BA8" s="82" t="s">
        <v>37</v>
      </c>
      <c r="BB8" s="82" t="n">
        <v>3</v>
      </c>
      <c r="BC8" s="82" t="n">
        <v>0</v>
      </c>
      <c r="BD8" s="82" t="s">
        <v>37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87</v>
      </c>
      <c r="C9" s="84" t="s">
        <v>35</v>
      </c>
      <c r="D9" s="85" t="s">
        <v>84</v>
      </c>
      <c r="E9" s="84"/>
      <c r="F9" s="86" t="n">
        <v>1</v>
      </c>
      <c r="G9" s="86" t="n">
        <v>4</v>
      </c>
      <c r="H9" s="86" t="s">
        <v>41</v>
      </c>
      <c r="I9" s="86"/>
      <c r="J9" s="86"/>
      <c r="K9" s="86"/>
      <c r="L9" s="86" t="n">
        <v>1</v>
      </c>
      <c r="M9" s="86" t="n">
        <v>3</v>
      </c>
      <c r="N9" s="86" t="s">
        <v>41</v>
      </c>
      <c r="O9" s="86" t="n">
        <v>0</v>
      </c>
      <c r="P9" s="86" t="n">
        <v>2</v>
      </c>
      <c r="Q9" s="86" t="s">
        <v>41</v>
      </c>
      <c r="R9" s="86" t="n">
        <v>1</v>
      </c>
      <c r="S9" s="86" t="n">
        <v>4</v>
      </c>
      <c r="T9" s="86" t="s">
        <v>41</v>
      </c>
      <c r="U9" s="86" t="n">
        <v>1</v>
      </c>
      <c r="V9" s="86" t="n">
        <v>3</v>
      </c>
      <c r="W9" s="86" t="s">
        <v>41</v>
      </c>
      <c r="X9" s="86" t="n">
        <v>1</v>
      </c>
      <c r="Y9" s="86" t="n">
        <v>2</v>
      </c>
      <c r="Z9" s="86" t="s">
        <v>41</v>
      </c>
      <c r="AA9" s="86" t="n">
        <v>0</v>
      </c>
      <c r="AB9" s="86" t="n">
        <v>2</v>
      </c>
      <c r="AC9" s="86" t="s">
        <v>41</v>
      </c>
      <c r="AD9" s="86" t="n">
        <v>1</v>
      </c>
      <c r="AE9" s="86" t="n">
        <v>1</v>
      </c>
      <c r="AF9" s="86" t="s">
        <v>37</v>
      </c>
      <c r="AG9" s="86" t="n">
        <v>1</v>
      </c>
      <c r="AH9" s="86" t="n">
        <v>2</v>
      </c>
      <c r="AI9" s="86" t="s">
        <v>41</v>
      </c>
      <c r="AJ9" s="86"/>
      <c r="AK9" s="86"/>
      <c r="AL9" s="86"/>
      <c r="AM9" s="86" t="n">
        <v>0</v>
      </c>
      <c r="AN9" s="86" t="n">
        <v>2</v>
      </c>
      <c r="AO9" s="86" t="s">
        <v>41</v>
      </c>
      <c r="AP9" s="86" t="n">
        <v>1</v>
      </c>
      <c r="AQ9" s="86" t="n">
        <v>3</v>
      </c>
      <c r="AR9" s="86" t="s">
        <v>41</v>
      </c>
      <c r="AS9" s="86" t="n">
        <v>1</v>
      </c>
      <c r="AT9" s="86" t="n">
        <v>4</v>
      </c>
      <c r="AU9" s="86" t="s">
        <v>41</v>
      </c>
      <c r="AV9" s="86" t="n">
        <v>0</v>
      </c>
      <c r="AW9" s="86" t="n">
        <v>2</v>
      </c>
      <c r="AX9" s="86" t="s">
        <v>41</v>
      </c>
      <c r="AY9" s="86" t="n">
        <v>1</v>
      </c>
      <c r="AZ9" s="86" t="n">
        <v>4</v>
      </c>
      <c r="BA9" s="86" t="s">
        <v>41</v>
      </c>
      <c r="BB9" s="86" t="n">
        <v>1</v>
      </c>
      <c r="BC9" s="86" t="n">
        <v>3</v>
      </c>
      <c r="BD9" s="86" t="s">
        <v>41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84</v>
      </c>
      <c r="G12" s="90"/>
      <c r="H12" s="90"/>
      <c r="I12" s="91"/>
      <c r="J12" s="91"/>
      <c r="K12" s="91"/>
      <c r="L12" s="92" t="s">
        <v>84</v>
      </c>
      <c r="M12" s="92"/>
      <c r="N12" s="92"/>
      <c r="O12" s="93" t="s">
        <v>84</v>
      </c>
      <c r="P12" s="93"/>
      <c r="Q12" s="93"/>
      <c r="R12" s="94" t="s">
        <v>85</v>
      </c>
      <c r="S12" s="94"/>
      <c r="T12" s="94"/>
      <c r="U12" s="95" t="s">
        <v>84</v>
      </c>
      <c r="V12" s="95"/>
      <c r="W12" s="95"/>
      <c r="X12" s="96" t="s">
        <v>85</v>
      </c>
      <c r="Y12" s="96"/>
      <c r="Z12" s="96"/>
      <c r="AA12" s="97" t="s">
        <v>84</v>
      </c>
      <c r="AB12" s="97"/>
      <c r="AC12" s="97"/>
      <c r="AD12" s="98" t="s">
        <v>88</v>
      </c>
      <c r="AE12" s="98"/>
      <c r="AF12" s="98"/>
      <c r="AG12" s="99" t="s">
        <v>89</v>
      </c>
      <c r="AH12" s="99"/>
      <c r="AI12" s="99"/>
      <c r="AJ12" s="100"/>
      <c r="AK12" s="100"/>
      <c r="AL12" s="100"/>
      <c r="AM12" s="101" t="s">
        <v>84</v>
      </c>
      <c r="AN12" s="101"/>
      <c r="AO12" s="101"/>
      <c r="AP12" s="102" t="s">
        <v>84</v>
      </c>
      <c r="AQ12" s="102"/>
      <c r="AR12" s="102"/>
      <c r="AS12" s="103" t="s">
        <v>84</v>
      </c>
      <c r="AT12" s="103"/>
      <c r="AU12" s="103"/>
      <c r="AV12" s="104" t="s">
        <v>90</v>
      </c>
      <c r="AW12" s="104"/>
      <c r="AX12" s="104"/>
      <c r="AY12" s="105" t="s">
        <v>85</v>
      </c>
      <c r="AZ12" s="105"/>
      <c r="BA12" s="105"/>
      <c r="BB12" s="106" t="s">
        <v>84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85</v>
      </c>
      <c r="G13" s="90"/>
      <c r="H13" s="90"/>
      <c r="I13" s="91"/>
      <c r="J13" s="91"/>
      <c r="K13" s="91"/>
      <c r="L13" s="92" t="s">
        <v>85</v>
      </c>
      <c r="M13" s="92"/>
      <c r="N13" s="92"/>
      <c r="O13" s="93" t="s">
        <v>85</v>
      </c>
      <c r="P13" s="93"/>
      <c r="Q13" s="93"/>
      <c r="R13" s="94" t="s">
        <v>91</v>
      </c>
      <c r="S13" s="94"/>
      <c r="T13" s="94"/>
      <c r="U13" s="95" t="s">
        <v>85</v>
      </c>
      <c r="V13" s="95"/>
      <c r="W13" s="95"/>
      <c r="X13" s="96" t="s">
        <v>84</v>
      </c>
      <c r="Y13" s="96"/>
      <c r="Z13" s="96"/>
      <c r="AA13" s="97" t="s">
        <v>85</v>
      </c>
      <c r="AB13" s="97"/>
      <c r="AC13" s="97"/>
      <c r="AD13" s="98" t="s">
        <v>89</v>
      </c>
      <c r="AE13" s="98"/>
      <c r="AF13" s="98"/>
      <c r="AG13" s="99" t="s">
        <v>88</v>
      </c>
      <c r="AH13" s="99"/>
      <c r="AI13" s="99"/>
      <c r="AJ13" s="100"/>
      <c r="AK13" s="100"/>
      <c r="AL13" s="100"/>
      <c r="AM13" s="101" t="s">
        <v>85</v>
      </c>
      <c r="AN13" s="101"/>
      <c r="AO13" s="101"/>
      <c r="AP13" s="102" t="s">
        <v>85</v>
      </c>
      <c r="AQ13" s="102"/>
      <c r="AR13" s="102"/>
      <c r="AS13" s="103" t="s">
        <v>85</v>
      </c>
      <c r="AT13" s="103"/>
      <c r="AU13" s="103"/>
      <c r="AV13" s="104" t="s">
        <v>92</v>
      </c>
      <c r="AW13" s="104"/>
      <c r="AX13" s="104"/>
      <c r="AY13" s="105" t="s">
        <v>84</v>
      </c>
      <c r="AZ13" s="105"/>
      <c r="BA13" s="105"/>
      <c r="BB13" s="106" t="s">
        <v>85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87</v>
      </c>
      <c r="G14" s="90"/>
      <c r="H14" s="90"/>
      <c r="I14" s="91"/>
      <c r="J14" s="91"/>
      <c r="K14" s="91"/>
      <c r="L14" s="92" t="s">
        <v>87</v>
      </c>
      <c r="M14" s="92"/>
      <c r="N14" s="92"/>
      <c r="O14" s="93" t="s">
        <v>87</v>
      </c>
      <c r="P14" s="93"/>
      <c r="Q14" s="93"/>
      <c r="R14" s="94" t="s">
        <v>87</v>
      </c>
      <c r="S14" s="94"/>
      <c r="T14" s="94"/>
      <c r="U14" s="95" t="s">
        <v>87</v>
      </c>
      <c r="V14" s="95"/>
      <c r="W14" s="95"/>
      <c r="X14" s="96" t="s">
        <v>87</v>
      </c>
      <c r="Y14" s="96"/>
      <c r="Z14" s="96"/>
      <c r="AA14" s="97" t="s">
        <v>87</v>
      </c>
      <c r="AB14" s="97"/>
      <c r="AC14" s="97"/>
      <c r="AD14" s="98" t="s">
        <v>93</v>
      </c>
      <c r="AE14" s="98"/>
      <c r="AF14" s="98"/>
      <c r="AG14" s="99" t="s">
        <v>93</v>
      </c>
      <c r="AH14" s="99"/>
      <c r="AI14" s="99"/>
      <c r="AJ14" s="100"/>
      <c r="AK14" s="100"/>
      <c r="AL14" s="100"/>
      <c r="AM14" s="101" t="s">
        <v>87</v>
      </c>
      <c r="AN14" s="101"/>
      <c r="AO14" s="101"/>
      <c r="AP14" s="102" t="s">
        <v>87</v>
      </c>
      <c r="AQ14" s="102"/>
      <c r="AR14" s="102"/>
      <c r="AS14" s="103" t="s">
        <v>87</v>
      </c>
      <c r="AT14" s="103"/>
      <c r="AU14" s="103"/>
      <c r="AV14" s="104" t="s">
        <v>94</v>
      </c>
      <c r="AW14" s="104"/>
      <c r="AX14" s="104"/>
      <c r="AY14" s="105" t="s">
        <v>87</v>
      </c>
      <c r="AZ14" s="105"/>
      <c r="BA14" s="105"/>
      <c r="BB14" s="106" t="s">
        <v>87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P17" s="113"/>
      <c r="Q17" s="113"/>
      <c r="R17" s="117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S17" s="113"/>
      <c r="T17" s="113"/>
      <c r="U17" s="118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V17" s="113"/>
      <c r="W17" s="113"/>
      <c r="X17" s="119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1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W17" s="113"/>
      <c r="AX17" s="113"/>
      <c r="AY17" s="128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2,BF4=1),3,0),0)+IF(AND(BE5&lt;&gt;"",BF5&lt;&gt;""),IF(AND(BE5=0,BF5=2),3,0),0)+IF(AND(BE6&lt;&gt;"",BF6&lt;&gt;""),IF(AND(BE6=4,BF6=0),3,0),0)+IF(AND(BE7&lt;&gt;"",BF7&lt;&gt;""),IF(AND(BE7=0,BF7=3),3,0),0)+IF(AND(BE8&lt;&gt;"",BF8&lt;&gt;""),IF(AND(BE8=2,BF8=0),3,0),0)+IF(AND(BE9&lt;&gt;"",BF9&lt;&gt;""),IF(AND(BE9=1,BF9=4)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3,BF4=1),3,0),0)+IF(AND(BE5&lt;&gt;"",BF5&lt;&gt;""),IF(AND(BE5=0,BF5=1),3,0),0)+IF(AND(BE6&lt;&gt;"",BF6&lt;&gt;""),IF(AND(BE6=5,BF6=1),3,0),0)+IF(AND(BE7&lt;&gt;"",BF7&lt;&gt;""),IF(AND(BE7=0,BF7=3),3,0),0)+IF(AND(BE8&lt;&gt;"",BF8&lt;&gt;""),IF(AND(BE8=4,BF8=0),3,0),0)+IF(AND(BE9&lt;&gt;"",BF9&lt;&gt;""),IF(AND(BE9=1,BF9=3),3,0),0)</f>
        <v>0</v>
      </c>
      <c r="M18" s="133"/>
      <c r="N18" s="133"/>
      <c r="O18" s="136" t="n">
        <f aca="false">IF(AND(BE4&lt;&gt;"",BF4&lt;&gt;""),IF(AND(BE4=2,BF4=0),3,0),0)+IF(AND(BE5&lt;&gt;"",BF5&lt;&gt;""),IF(AND(BE5=0,BF5=2),3,0),0)+IF(AND(BE6&lt;&gt;"",BF6&lt;&gt;""),IF(AND(BE6=3,BF6=0),3,0),0)+IF(AND(BE7&lt;&gt;"",BF7&lt;&gt;""),IF(AND(BE7=1,BF7=2),3,0),0)+IF(AND(BE8&lt;&gt;"",BF8&lt;&gt;""),IF(AND(BE8=2,BF8=0),3,0),0)+IF(AND(BE9&lt;&gt;"",BF9&lt;&gt;""),IF(AND(BE9=0,BF9=2),3,0),0)</f>
        <v>0</v>
      </c>
      <c r="P18" s="133"/>
      <c r="Q18" s="133"/>
      <c r="R18" s="137" t="n">
        <f aca="false">IF(AND(BE4&lt;&gt;"",BF4&lt;&gt;""),IF(AND(BE4=2,BF4=3),3,0),0)+IF(AND(BE5&lt;&gt;"",BF5&lt;&gt;""),IF(AND(BE5=1,BF5=3),3,0),0)+IF(AND(BE6&lt;&gt;"",BF6&lt;&gt;""),IF(AND(BE6=6,BF6=1),3,0),0)+IF(AND(BE7&lt;&gt;"",BF7&lt;&gt;""),IF(AND(BE7=1,BF7=4),3,0),0)+IF(AND(BE8&lt;&gt;"",BF8&lt;&gt;""),IF(AND(BE8=5,BF8=1),3,0),0)+IF(AND(BE9&lt;&gt;"",BF9&lt;&gt;""),IF(AND(BE9=1,BF9=4),3,0),0)</f>
        <v>0</v>
      </c>
      <c r="S18" s="133"/>
      <c r="T18" s="133"/>
      <c r="U18" s="138" t="n">
        <f aca="false">IF(AND(BE4&lt;&gt;"",BF4&lt;&gt;""),IF(AND(BE4=2,BF4=1),3,0),0)+IF(AND(BE5&lt;&gt;"",BF5&lt;&gt;""),IF(AND(BE5=0,BF5=4),3,0),0)+IF(AND(BE6&lt;&gt;"",BF6&lt;&gt;""),IF(AND(BE6=5,BF6=0),3,0),0)+IF(AND(BE7&lt;&gt;"",BF7&lt;&gt;""),IF(AND(BE7=1,BF7=2),3,0),0)+IF(AND(BE8&lt;&gt;"",BF8&lt;&gt;""),IF(AND(BE8=4,BF8=0),3,0),0)+IF(AND(BE9&lt;&gt;"",BF9&lt;&gt;""),IF(AND(BE9=1,BF9=3),3,0),0)</f>
        <v>0</v>
      </c>
      <c r="V18" s="133"/>
      <c r="W18" s="133"/>
      <c r="X18" s="139" t="n">
        <f aca="false">IF(AND(BE4&lt;&gt;"",BF4&lt;&gt;""),IF(AND(BE4=0,BF4=1),3,0),0)+IF(AND(BE5&lt;&gt;"",BF5&lt;&gt;""),IF(AND(BE5=0,BF5=3),3,0),0)+IF(AND(BE6&lt;&gt;"",BF6&lt;&gt;""),IF(AND(BE6=5,BF6=0),3,0),0)+IF(AND(BE7&lt;&gt;"",BF7&lt;&gt;""),IF(AND(BE7=1,BF7=1),3,0),0)+IF(AND(BE8&lt;&gt;"",BF8&lt;&gt;""),IF(AND(BE8=4,BF8=0),3,0),0)+IF(AND(BE9&lt;&gt;"",BF9&lt;&gt;""),IF(AND(BE9=1,BF9=2),3,0),0)</f>
        <v>0</v>
      </c>
      <c r="Y18" s="133"/>
      <c r="Z18" s="133"/>
      <c r="AA18" s="140" t="n">
        <f aca="false">IF(AND(BE4&lt;&gt;"",BF4&lt;&gt;""),IF(AND(BE4=2,BF4=0),3,0),0)+IF(AND(BE5&lt;&gt;"",BF5&lt;&gt;""),IF(AND(BE5=0,BF5=2),3,0),0)+IF(AND(BE6&lt;&gt;"",BF6&lt;&gt;""),IF(AND(BE6=4,BF6=0),3,0),0)+IF(AND(BE7&lt;&gt;"",BF7&lt;&gt;""),IF(AND(BE7=0,BF7=1),3,0),0)+IF(AND(BE8&lt;&gt;"",BF8&lt;&gt;""),IF(AND(BE8=3,BF8=0),3,0),0)+IF(AND(BE9&lt;&gt;"",BF9&lt;&gt;""),IF(AND(BE9=0,BF9=2),3,0),0)</f>
        <v>0</v>
      </c>
      <c r="AB18" s="133"/>
      <c r="AC18" s="133"/>
      <c r="AD18" s="141" t="n">
        <f aca="false">IF(AND(BE4&lt;&gt;"",BF4&lt;&gt;""),IF(AND(BE4=2,BF4=2),3,0),0)+IF(AND(BE5&lt;&gt;"",BF5&lt;&gt;""),IF(AND(BE5=0,BF5=3),3,0),0)+IF(AND(BE6&lt;&gt;"",BF6&lt;&gt;""),IF(AND(BE6=2,BF6=0),3,0),0)+IF(AND(BE7&lt;&gt;"",BF7&lt;&gt;""),IF(AND(BE7=1,BF7=2),3,0),0)+IF(AND(BE8&lt;&gt;"",BF8&lt;&gt;""),IF(AND(BE8=3,BF8=0),3,0),0)+IF(AND(BE9&lt;&gt;"",BF9&lt;&gt;""),IF(AND(BE9=1,BF9=1),3,0),0)</f>
        <v>0</v>
      </c>
      <c r="AE18" s="133"/>
      <c r="AF18" s="133"/>
      <c r="AG18" s="142" t="n">
        <f aca="false">IF(AND(BE4&lt;&gt;"",BF4&lt;&gt;""),IF(AND(BE4=2,BF4=1),3,0),0)+IF(AND(BE5&lt;&gt;"",BF5&lt;&gt;""),IF(AND(BE5=1,BF5=1),3,0),0)+IF(AND(BE6&lt;&gt;"",BF6&lt;&gt;""),IF(AND(BE6=3,BF6=1),3,0),0)+IF(AND(BE7&lt;&gt;"",BF7&lt;&gt;""),IF(AND(BE7=1,BF7=2),3,0),0)+IF(AND(BE8&lt;&gt;"",BF8&lt;&gt;""),IF(AND(BE8=3,BF8=0),3,0),0)+IF(AND(BE9&lt;&gt;"",BF9&lt;&gt;""),IF(AND(BE9=1,BF9=2)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3,BF4=1),3,0),0)+IF(AND(BE5&lt;&gt;"",BF5&lt;&gt;""),IF(AND(BE5=1,BF5=2),3,0),0)+IF(AND(BE6&lt;&gt;"",BF6&lt;&gt;""),IF(AND(BE6=3,BF6=0),3,0),0)+IF(AND(BE7&lt;&gt;"",BF7&lt;&gt;""),IF(AND(BE7=1,BF7=1),3,0),0)+IF(AND(BE8&lt;&gt;"",BF8&lt;&gt;""),IF(AND(BE8=2,BF8=1),3,0),0)+IF(AND(BE9&lt;&gt;"",BF9&lt;&gt;""),IF(AND(BE9=0,BF9=2),3,0),0)</f>
        <v>0</v>
      </c>
      <c r="AN18" s="133"/>
      <c r="AO18" s="133"/>
      <c r="AP18" s="145" t="n">
        <f aca="false">IF(AND(BE4&lt;&gt;"",BF4&lt;&gt;""),IF(AND(BE4=3,BF4=1),3,0),0)+IF(AND(BE5&lt;&gt;"",BF5&lt;&gt;""),IF(AND(BE5=0,BF5=2),3,0),0)+IF(AND(BE6&lt;&gt;"",BF6&lt;&gt;""),IF(AND(BE6=4,BF6=0),3,0),0)+IF(AND(BE7&lt;&gt;"",BF7&lt;&gt;""),IF(AND(BE7=1,BF7=2),3,0),0)+IF(AND(BE8&lt;&gt;"",BF8&lt;&gt;""),IF(AND(BE8=3,BF8=0),3,0),0)+IF(AND(BE9&lt;&gt;"",BF9&lt;&gt;""),IF(AND(BE9=1,BF9=3),3,0),0)</f>
        <v>0</v>
      </c>
      <c r="AQ18" s="133"/>
      <c r="AR18" s="133"/>
      <c r="AS18" s="146" t="n">
        <f aca="false">IF(AND(BE4&lt;&gt;"",BF4&lt;&gt;""),IF(AND(BE4=3,BF4=1),3,0),0)+IF(AND(BE5&lt;&gt;"",BF5&lt;&gt;""),IF(AND(BE5=0,BF5=2),3,0),0)+IF(AND(BE6&lt;&gt;"",BF6&lt;&gt;""),IF(AND(BE6=4,BF6=1),3,0),0)+IF(AND(BE7&lt;&gt;"",BF7&lt;&gt;""),IF(AND(BE7=0,BF7=2),3,0),0)+IF(AND(BE8&lt;&gt;"",BF8&lt;&gt;""),IF(AND(BE8=2,BF8=0),3,0),0)+IF(AND(BE9&lt;&gt;"",BF9&lt;&gt;""),IF(AND(BE9=1,BF9=4),3,0),0)</f>
        <v>0</v>
      </c>
      <c r="AT18" s="133"/>
      <c r="AU18" s="133"/>
      <c r="AV18" s="147" t="n">
        <f aca="false">IF(AND(BE4&lt;&gt;"",BF4&lt;&gt;""),IF(AND(BE4=3,BF4=1),3,0),0)+IF(AND(BE5&lt;&gt;"",BF5&lt;&gt;""),IF(AND(BE5=1,BF5=2),3,0),0)+IF(AND(BE6&lt;&gt;"",BF6&lt;&gt;""),IF(AND(BE6=4,BF6=0),3,0),0)+IF(AND(BE7&lt;&gt;"",BF7&lt;&gt;""),IF(AND(BE7=1,BF7=2),3,0),0)+IF(AND(BE8&lt;&gt;"",BF8&lt;&gt;""),IF(AND(BE8=3,BF8=0),3,0),0)+IF(AND(BE9&lt;&gt;"",BF9&lt;&gt;""),IF(AND(BE9=0,BF9=2),3,0),0)</f>
        <v>0</v>
      </c>
      <c r="AW18" s="133"/>
      <c r="AX18" s="133"/>
      <c r="AY18" s="148" t="n">
        <f aca="false">IF(AND(BE4&lt;&gt;"",BF4&lt;&gt;""),IF(AND(BE4=2,BF4=2),3,0),0)+IF(AND(BE5&lt;&gt;"",BF5&lt;&gt;""),IF(AND(BE5=0,BF5=1),3,0),0)+IF(AND(BE6&lt;&gt;"",BF6&lt;&gt;""),IF(AND(BE6=3,BF6=0),3,0),0)+IF(AND(BE7&lt;&gt;"",BF7&lt;&gt;""),IF(AND(BE7=1,BF7=3),3,0),0)+IF(AND(BE8&lt;&gt;"",BF8&lt;&gt;""),IF(AND(BE8=4,BF8=0),3,0),0)+IF(AND(BE9&lt;&gt;"",BF9&lt;&gt;""),IF(AND(BE9=1,BF9=4),3,0),0)</f>
        <v>0</v>
      </c>
      <c r="AZ18" s="133"/>
      <c r="BA18" s="133"/>
      <c r="BB18" s="149" t="n">
        <f aca="false">IF(AND(BE4&lt;&gt;"",BF4&lt;&gt;""),IF(AND(BE4=2,BF4=1),3,0),0)+IF(AND(BE5&lt;&gt;"",BF5&lt;&gt;""),IF(AND(BE5=0,BF5=2),3,0),0)+IF(AND(BE6&lt;&gt;"",BF6&lt;&gt;""),IF(AND(BE6=4,BF6=0),3,0),0)+IF(AND(BE7&lt;&gt;"",BF7&lt;&gt;""),IF(AND(BE7=1,BF7=1),3,0),0)+IF(AND(BE8&lt;&gt;"",BF8&lt;&gt;""),IF(AND(BE8=3,BF8=0),3,0),0)+IF(AND(BE9&lt;&gt;"",BF9&lt;&gt;""),IF(AND(BE9=1,BF9=3)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IF(C12&lt;&gt;"",IF(C12="Brasil",4,0),0)+IF(C13&lt;&gt;"",IF(C13="Marruecos",2,0),0)+IF(C14&lt;&gt;"",IF(C14="Escocia",1,0),0)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IF(C12&lt;&gt;"",IF(C12="Brasil",4,0),0)+IF(C13&lt;&gt;"",IF(C13="Marruecos",2,0),0)+IF(C14&lt;&gt;"",IF(C14="Escocia",1,0),0)</f>
        <v>0</v>
      </c>
      <c r="M19" s="152"/>
      <c r="N19" s="152"/>
      <c r="O19" s="155" t="n">
        <f aca="false">IF(C12&lt;&gt;"",IF(C12="Brasil",4,0),0)+IF(C13&lt;&gt;"",IF(C13="Marruecos",2,0),0)+IF(C14&lt;&gt;"",IF(C14="Escocia",1,0),0)</f>
        <v>0</v>
      </c>
      <c r="P19" s="152"/>
      <c r="Q19" s="152"/>
      <c r="R19" s="156" t="n">
        <f aca="false">IF(C12&lt;&gt;"",IF(C12="Marruecos",4,0),0)+IF(C13&lt;&gt;"",IF(C13="Brazil",2,0),0)+IF(C14&lt;&gt;"",IF(C14="Escocia",1,0),0)</f>
        <v>0</v>
      </c>
      <c r="S19" s="152"/>
      <c r="T19" s="152"/>
      <c r="U19" s="157" t="n">
        <f aca="false">IF(C12&lt;&gt;"",IF(C12="Brasil",4,0),0)+IF(C13&lt;&gt;"",IF(C13="Marruecos",2,0),0)+IF(C14&lt;&gt;"",IF(C14="Escocia",1,0),0)</f>
        <v>0</v>
      </c>
      <c r="V19" s="152"/>
      <c r="W19" s="152"/>
      <c r="X19" s="158" t="n">
        <f aca="false">IF(C12&lt;&gt;"",IF(C12="Marruecos",4,0),0)+IF(C13&lt;&gt;"",IF(C13="Brasil",2,0),0)+IF(C14&lt;&gt;"",IF(C14="Escocia",1,0),0)</f>
        <v>0</v>
      </c>
      <c r="Y19" s="152"/>
      <c r="Z19" s="152"/>
      <c r="AA19" s="159" t="n">
        <f aca="false">IF(C12&lt;&gt;"",IF(C12="Brasil",4,0),0)+IF(C13&lt;&gt;"",IF(C13="Marruecos",2,0),0)+IF(C14&lt;&gt;"",IF(C14="Escocia",1,0),0)</f>
        <v>0</v>
      </c>
      <c r="AB19" s="152"/>
      <c r="AC19" s="152"/>
      <c r="AD19" s="160" t="n">
        <f aca="false">IF(C12&lt;&gt;"",IF(C12="MARRUECOS",4,0),0)+IF(C13&lt;&gt;"",IF(C13="BRASIL",2,0),0)+IF(C14&lt;&gt;"",IF(C14="ESCOCIA",1,0),0)</f>
        <v>0</v>
      </c>
      <c r="AE19" s="152"/>
      <c r="AF19" s="152"/>
      <c r="AG19" s="161" t="n">
        <f aca="false">IF(C12&lt;&gt;"",IF(C12="BRASIL",4,0),0)+IF(C13&lt;&gt;"",IF(C13="MARRUECOS",2,0),0)+IF(C14&lt;&gt;"",IF(C14="ESCOCIA",1,0),0)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IF(C12&lt;&gt;"",IF(C12="Brasil",4,0),0)+IF(C13&lt;&gt;"",IF(C13="Marruecos",2,0),0)+IF(C14&lt;&gt;"",IF(C14="Escocia",1,0),0)</f>
        <v>0</v>
      </c>
      <c r="AN19" s="152"/>
      <c r="AO19" s="152"/>
      <c r="AP19" s="164" t="n">
        <f aca="false">IF(C12&lt;&gt;"",IF(C12="Brasil",4,0),0)+IF(C13&lt;&gt;"",IF(C13="Marruecos",2,0),0)+IF(C14&lt;&gt;"",IF(C14="Escocia",1,0),0)</f>
        <v>0</v>
      </c>
      <c r="AQ19" s="152"/>
      <c r="AR19" s="152"/>
      <c r="AS19" s="165" t="n">
        <f aca="false">IF(C12&lt;&gt;"",IF(C12="Brasil",4,0),0)+IF(C13&lt;&gt;"",IF(C13="Marruecos",2,0),0)+IF(C14&lt;&gt;"",IF(C14="Escocia",1,0),0)</f>
        <v>0</v>
      </c>
      <c r="AT19" s="152"/>
      <c r="AU19" s="152"/>
      <c r="AV19" s="166" t="n">
        <f aca="false">IF(C12&lt;&gt;"",IF(C12="brasil",4,0),0)+IF(C13&lt;&gt;"",IF(C13="marruecos",2,0),0)+IF(C14&lt;&gt;"",IF(C14="escocia",1,0),0)</f>
        <v>0</v>
      </c>
      <c r="AW19" s="152"/>
      <c r="AX19" s="152"/>
      <c r="AY19" s="167" t="n">
        <f aca="false">IF(C12&lt;&gt;"",IF(C12="Marruecos",4,0),0)+IF(C13&lt;&gt;"",IF(C13="Brasil",2,0),0)+IF(C14&lt;&gt;"",IF(C14="Escocia",1,0),0)</f>
        <v>0</v>
      </c>
      <c r="AZ19" s="152"/>
      <c r="BA19" s="152"/>
      <c r="BB19" s="168" t="n">
        <f aca="false">IF(C12&lt;&gt;"",IF(C12="Brasil",4,0),0)+IF(C13&lt;&gt;"",IF(C13="Marruecos",2,0),0)+IF(C14&lt;&gt;"",IF(C14="Escocia",1,0),0)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96</v>
      </c>
      <c r="C4" s="80" t="s">
        <v>35</v>
      </c>
      <c r="D4" s="81" t="s">
        <v>97</v>
      </c>
      <c r="E4" s="80"/>
      <c r="F4" s="82" t="n">
        <v>1</v>
      </c>
      <c r="G4" s="82" t="n">
        <v>0</v>
      </c>
      <c r="H4" s="82" t="s">
        <v>37</v>
      </c>
      <c r="I4" s="82"/>
      <c r="J4" s="82"/>
      <c r="K4" s="82"/>
      <c r="L4" s="82" t="n">
        <v>2</v>
      </c>
      <c r="M4" s="82" t="n">
        <v>1</v>
      </c>
      <c r="N4" s="82" t="s">
        <v>38</v>
      </c>
      <c r="O4" s="82" t="n">
        <v>0</v>
      </c>
      <c r="P4" s="82" t="n">
        <v>1</v>
      </c>
      <c r="Q4" s="82" t="s">
        <v>41</v>
      </c>
      <c r="R4" s="82" t="n">
        <v>2</v>
      </c>
      <c r="S4" s="82" t="n">
        <v>1</v>
      </c>
      <c r="T4" s="82" t="s">
        <v>37</v>
      </c>
      <c r="U4" s="82" t="n">
        <v>2</v>
      </c>
      <c r="V4" s="82" t="n">
        <v>1</v>
      </c>
      <c r="W4" s="82" t="s">
        <v>37</v>
      </c>
      <c r="X4" s="82" t="n">
        <v>2</v>
      </c>
      <c r="Y4" s="82" t="n">
        <v>0</v>
      </c>
      <c r="Z4" s="82" t="s">
        <v>37</v>
      </c>
      <c r="AA4" s="82" t="n">
        <v>2</v>
      </c>
      <c r="AB4" s="82" t="n">
        <v>0</v>
      </c>
      <c r="AC4" s="82" t="s">
        <v>37</v>
      </c>
      <c r="AD4" s="82" t="n">
        <v>2</v>
      </c>
      <c r="AE4" s="82" t="n">
        <v>2</v>
      </c>
      <c r="AF4" s="82" t="s">
        <v>37</v>
      </c>
      <c r="AG4" s="82" t="n">
        <v>2</v>
      </c>
      <c r="AH4" s="82" t="n">
        <v>1</v>
      </c>
      <c r="AI4" s="82" t="s">
        <v>38</v>
      </c>
      <c r="AJ4" s="82"/>
      <c r="AK4" s="82"/>
      <c r="AL4" s="82"/>
      <c r="AM4" s="82" t="n">
        <v>2</v>
      </c>
      <c r="AN4" s="82" t="n">
        <v>1</v>
      </c>
      <c r="AO4" s="82" t="s">
        <v>37</v>
      </c>
      <c r="AP4" s="82" t="n">
        <v>2</v>
      </c>
      <c r="AQ4" s="82" t="n">
        <v>0</v>
      </c>
      <c r="AR4" s="82" t="s">
        <v>37</v>
      </c>
      <c r="AS4" s="82" t="n">
        <v>0</v>
      </c>
      <c r="AT4" s="82" t="n">
        <v>1</v>
      </c>
      <c r="AU4" s="82" t="s">
        <v>41</v>
      </c>
      <c r="AV4" s="82" t="n">
        <v>2</v>
      </c>
      <c r="AW4" s="82" t="n">
        <v>1</v>
      </c>
      <c r="AX4" s="82" t="s">
        <v>37</v>
      </c>
      <c r="AY4" s="82" t="n">
        <v>1</v>
      </c>
      <c r="AZ4" s="82" t="n">
        <v>1</v>
      </c>
      <c r="BA4" s="82" t="s">
        <v>37</v>
      </c>
      <c r="BB4" s="82" t="n">
        <v>1</v>
      </c>
      <c r="BC4" s="82" t="n">
        <v>1</v>
      </c>
      <c r="BD4" s="82" t="s">
        <v>38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98</v>
      </c>
      <c r="C5" s="84" t="s">
        <v>35</v>
      </c>
      <c r="D5" s="85" t="s">
        <v>99</v>
      </c>
      <c r="E5" s="84"/>
      <c r="F5" s="86" t="n">
        <v>0</v>
      </c>
      <c r="G5" s="86" t="n">
        <v>2</v>
      </c>
      <c r="H5" s="86" t="s">
        <v>41</v>
      </c>
      <c r="I5" s="86"/>
      <c r="J5" s="86"/>
      <c r="K5" s="86"/>
      <c r="L5" s="86" t="n">
        <v>0</v>
      </c>
      <c r="M5" s="86" t="n">
        <v>1</v>
      </c>
      <c r="N5" s="86" t="s">
        <v>38</v>
      </c>
      <c r="O5" s="86" t="n">
        <v>0</v>
      </c>
      <c r="P5" s="86" t="n">
        <v>2</v>
      </c>
      <c r="Q5" s="86" t="s">
        <v>41</v>
      </c>
      <c r="R5" s="86" t="n">
        <v>1</v>
      </c>
      <c r="S5" s="86" t="n">
        <v>3</v>
      </c>
      <c r="T5" s="86" t="s">
        <v>41</v>
      </c>
      <c r="U5" s="86" t="n">
        <v>1</v>
      </c>
      <c r="V5" s="86" t="n">
        <v>2</v>
      </c>
      <c r="W5" s="86" t="s">
        <v>41</v>
      </c>
      <c r="X5" s="86" t="n">
        <v>1</v>
      </c>
      <c r="Y5" s="86" t="n">
        <v>3</v>
      </c>
      <c r="Z5" s="86" t="s">
        <v>41</v>
      </c>
      <c r="AA5" s="86" t="n">
        <v>1</v>
      </c>
      <c r="AB5" s="86" t="n">
        <v>1</v>
      </c>
      <c r="AC5" s="86" t="s">
        <v>38</v>
      </c>
      <c r="AD5" s="86" t="n">
        <v>0</v>
      </c>
      <c r="AE5" s="86" t="n">
        <v>2</v>
      </c>
      <c r="AF5" s="86" t="s">
        <v>38</v>
      </c>
      <c r="AG5" s="86" t="n">
        <v>1</v>
      </c>
      <c r="AH5" s="86" t="n">
        <v>3</v>
      </c>
      <c r="AI5" s="86" t="s">
        <v>41</v>
      </c>
      <c r="AJ5" s="86"/>
      <c r="AK5" s="86"/>
      <c r="AL5" s="86"/>
      <c r="AM5" s="86" t="n">
        <v>1</v>
      </c>
      <c r="AN5" s="86" t="n">
        <v>1</v>
      </c>
      <c r="AO5" s="86" t="s">
        <v>38</v>
      </c>
      <c r="AP5" s="86" t="n">
        <v>1</v>
      </c>
      <c r="AQ5" s="86" t="n">
        <v>1</v>
      </c>
      <c r="AR5" s="86" t="s">
        <v>38</v>
      </c>
      <c r="AS5" s="86" t="n">
        <v>2</v>
      </c>
      <c r="AT5" s="86" t="n">
        <v>2</v>
      </c>
      <c r="AU5" s="86" t="s">
        <v>38</v>
      </c>
      <c r="AV5" s="86" t="n">
        <v>1</v>
      </c>
      <c r="AW5" s="86" t="n">
        <v>2</v>
      </c>
      <c r="AX5" s="86" t="s">
        <v>41</v>
      </c>
      <c r="AY5" s="86" t="n">
        <v>0</v>
      </c>
      <c r="AZ5" s="86" t="n">
        <v>1</v>
      </c>
      <c r="BA5" s="86" t="s">
        <v>41</v>
      </c>
      <c r="BB5" s="86" t="n">
        <v>1</v>
      </c>
      <c r="BC5" s="86" t="n">
        <v>3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96</v>
      </c>
      <c r="C6" s="80" t="s">
        <v>35</v>
      </c>
      <c r="D6" s="81" t="s">
        <v>98</v>
      </c>
      <c r="E6" s="80"/>
      <c r="F6" s="82" t="n">
        <v>0</v>
      </c>
      <c r="G6" s="82" t="n">
        <v>0</v>
      </c>
      <c r="H6" s="82" t="s">
        <v>37</v>
      </c>
      <c r="I6" s="82"/>
      <c r="J6" s="82"/>
      <c r="K6" s="82"/>
      <c r="L6" s="82" t="n">
        <v>3</v>
      </c>
      <c r="M6" s="82" t="n">
        <v>1</v>
      </c>
      <c r="N6" s="82" t="s">
        <v>37</v>
      </c>
      <c r="O6" s="82" t="n">
        <v>1</v>
      </c>
      <c r="P6" s="82" t="n">
        <v>1</v>
      </c>
      <c r="Q6" s="82" t="s">
        <v>38</v>
      </c>
      <c r="R6" s="82" t="n">
        <v>1</v>
      </c>
      <c r="S6" s="82" t="n">
        <v>2</v>
      </c>
      <c r="T6" s="82" t="s">
        <v>41</v>
      </c>
      <c r="U6" s="82" t="n">
        <v>1</v>
      </c>
      <c r="V6" s="82" t="n">
        <v>0</v>
      </c>
      <c r="W6" s="82" t="s">
        <v>37</v>
      </c>
      <c r="X6" s="82" t="n">
        <v>3</v>
      </c>
      <c r="Y6" s="82" t="n">
        <v>1</v>
      </c>
      <c r="Z6" s="82" t="s">
        <v>37</v>
      </c>
      <c r="AA6" s="82" t="n">
        <v>2</v>
      </c>
      <c r="AB6" s="82" t="n">
        <v>1</v>
      </c>
      <c r="AC6" s="82" t="s">
        <v>37</v>
      </c>
      <c r="AD6" s="82" t="n">
        <v>2</v>
      </c>
      <c r="AE6" s="82" t="n">
        <v>1</v>
      </c>
      <c r="AF6" s="82" t="s">
        <v>38</v>
      </c>
      <c r="AG6" s="82" t="n">
        <v>2</v>
      </c>
      <c r="AH6" s="82" t="n">
        <v>1</v>
      </c>
      <c r="AI6" s="82" t="s">
        <v>37</v>
      </c>
      <c r="AJ6" s="82"/>
      <c r="AK6" s="82"/>
      <c r="AL6" s="82"/>
      <c r="AM6" s="82" t="n">
        <v>2</v>
      </c>
      <c r="AN6" s="82" t="n">
        <v>0</v>
      </c>
      <c r="AO6" s="82" t="s">
        <v>37</v>
      </c>
      <c r="AP6" s="82" t="n">
        <v>2</v>
      </c>
      <c r="AQ6" s="82" t="n">
        <v>0</v>
      </c>
      <c r="AR6" s="82" t="s">
        <v>37</v>
      </c>
      <c r="AS6" s="82" t="n">
        <v>2</v>
      </c>
      <c r="AT6" s="82" t="n">
        <v>1</v>
      </c>
      <c r="AU6" s="82" t="s">
        <v>37</v>
      </c>
      <c r="AV6" s="82" t="n">
        <v>1</v>
      </c>
      <c r="AW6" s="82" t="n">
        <v>1</v>
      </c>
      <c r="AX6" s="82" t="s">
        <v>38</v>
      </c>
      <c r="AY6" s="82" t="n">
        <v>2</v>
      </c>
      <c r="AZ6" s="82" t="n">
        <v>1</v>
      </c>
      <c r="BA6" s="82" t="s">
        <v>37</v>
      </c>
      <c r="BB6" s="82" t="n">
        <v>1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99</v>
      </c>
      <c r="C7" s="84" t="s">
        <v>35</v>
      </c>
      <c r="D7" s="85" t="s">
        <v>97</v>
      </c>
      <c r="E7" s="84"/>
      <c r="F7" s="86" t="n">
        <v>3</v>
      </c>
      <c r="G7" s="86" t="n">
        <v>1</v>
      </c>
      <c r="H7" s="86" t="s">
        <v>37</v>
      </c>
      <c r="I7" s="86"/>
      <c r="J7" s="86"/>
      <c r="K7" s="86"/>
      <c r="L7" s="86" t="n">
        <v>2</v>
      </c>
      <c r="M7" s="86" t="n">
        <v>0</v>
      </c>
      <c r="N7" s="86" t="s">
        <v>37</v>
      </c>
      <c r="O7" s="86" t="n">
        <v>2</v>
      </c>
      <c r="P7" s="86" t="n">
        <v>0</v>
      </c>
      <c r="Q7" s="86" t="s">
        <v>37</v>
      </c>
      <c r="R7" s="86" t="n">
        <v>3</v>
      </c>
      <c r="S7" s="86" t="n">
        <v>1</v>
      </c>
      <c r="T7" s="86" t="s">
        <v>37</v>
      </c>
      <c r="U7" s="86" t="n">
        <v>2</v>
      </c>
      <c r="V7" s="86" t="n">
        <v>0</v>
      </c>
      <c r="W7" s="86" t="s">
        <v>37</v>
      </c>
      <c r="X7" s="86" t="n">
        <v>3</v>
      </c>
      <c r="Y7" s="86" t="n">
        <v>1</v>
      </c>
      <c r="Z7" s="86" t="s">
        <v>37</v>
      </c>
      <c r="AA7" s="86" t="n">
        <v>2</v>
      </c>
      <c r="AB7" s="86" t="n">
        <v>1</v>
      </c>
      <c r="AC7" s="86" t="s">
        <v>37</v>
      </c>
      <c r="AD7" s="86" t="n">
        <v>0</v>
      </c>
      <c r="AE7" s="86" t="n">
        <v>0</v>
      </c>
      <c r="AF7" s="86" t="s">
        <v>41</v>
      </c>
      <c r="AG7" s="86" t="n">
        <v>2</v>
      </c>
      <c r="AH7" s="86" t="n">
        <v>1</v>
      </c>
      <c r="AI7" s="86" t="s">
        <v>37</v>
      </c>
      <c r="AJ7" s="86"/>
      <c r="AK7" s="86"/>
      <c r="AL7" s="86"/>
      <c r="AM7" s="86" t="n">
        <v>2</v>
      </c>
      <c r="AN7" s="86" t="n">
        <v>1</v>
      </c>
      <c r="AO7" s="86" t="s">
        <v>37</v>
      </c>
      <c r="AP7" s="86" t="n">
        <v>3</v>
      </c>
      <c r="AQ7" s="86" t="n">
        <v>1</v>
      </c>
      <c r="AR7" s="86" t="s">
        <v>38</v>
      </c>
      <c r="AS7" s="86" t="n">
        <v>0</v>
      </c>
      <c r="AT7" s="86" t="n">
        <v>2</v>
      </c>
      <c r="AU7" s="86" t="s">
        <v>41</v>
      </c>
      <c r="AV7" s="86" t="n">
        <v>2</v>
      </c>
      <c r="AW7" s="86" t="n">
        <v>1</v>
      </c>
      <c r="AX7" s="86" t="s">
        <v>37</v>
      </c>
      <c r="AY7" s="86" t="n">
        <v>1</v>
      </c>
      <c r="AZ7" s="86" t="n">
        <v>3</v>
      </c>
      <c r="BA7" s="86" t="s">
        <v>37</v>
      </c>
      <c r="BB7" s="86" t="n">
        <v>2</v>
      </c>
      <c r="BC7" s="86" t="n">
        <v>2</v>
      </c>
      <c r="BD7" s="86" t="s">
        <v>38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99</v>
      </c>
      <c r="C8" s="80" t="s">
        <v>35</v>
      </c>
      <c r="D8" s="81" t="s">
        <v>96</v>
      </c>
      <c r="E8" s="80"/>
      <c r="F8" s="82" t="n">
        <v>2</v>
      </c>
      <c r="G8" s="82" t="n">
        <v>1</v>
      </c>
      <c r="H8" s="82" t="s">
        <v>37</v>
      </c>
      <c r="I8" s="82"/>
      <c r="J8" s="82"/>
      <c r="K8" s="82"/>
      <c r="L8" s="82" t="n">
        <v>1</v>
      </c>
      <c r="M8" s="82" t="n">
        <v>0</v>
      </c>
      <c r="N8" s="82" t="s">
        <v>38</v>
      </c>
      <c r="O8" s="82" t="n">
        <v>2</v>
      </c>
      <c r="P8" s="82" t="n">
        <v>1</v>
      </c>
      <c r="Q8" s="82" t="s">
        <v>37</v>
      </c>
      <c r="R8" s="82" t="n">
        <v>3</v>
      </c>
      <c r="S8" s="82" t="n">
        <v>1</v>
      </c>
      <c r="T8" s="82" t="s">
        <v>37</v>
      </c>
      <c r="U8" s="82" t="n">
        <v>3</v>
      </c>
      <c r="V8" s="82" t="n">
        <v>1</v>
      </c>
      <c r="W8" s="82" t="s">
        <v>37</v>
      </c>
      <c r="X8" s="82" t="n">
        <v>2</v>
      </c>
      <c r="Y8" s="82" t="n">
        <v>2</v>
      </c>
      <c r="Z8" s="82" t="s">
        <v>38</v>
      </c>
      <c r="AA8" s="82" t="n">
        <v>0</v>
      </c>
      <c r="AB8" s="82" t="n">
        <v>1</v>
      </c>
      <c r="AC8" s="82" t="s">
        <v>41</v>
      </c>
      <c r="AD8" s="82" t="n">
        <v>2</v>
      </c>
      <c r="AE8" s="82" t="n">
        <v>2</v>
      </c>
      <c r="AF8" s="82" t="s">
        <v>37</v>
      </c>
      <c r="AG8" s="82" t="n">
        <v>2</v>
      </c>
      <c r="AH8" s="82" t="n">
        <v>2</v>
      </c>
      <c r="AI8" s="82" t="s">
        <v>41</v>
      </c>
      <c r="AJ8" s="82"/>
      <c r="AK8" s="82"/>
      <c r="AL8" s="82"/>
      <c r="AM8" s="82" t="n">
        <v>1</v>
      </c>
      <c r="AN8" s="82" t="n">
        <v>1</v>
      </c>
      <c r="AO8" s="82" t="s">
        <v>38</v>
      </c>
      <c r="AP8" s="82" t="n">
        <v>0</v>
      </c>
      <c r="AQ8" s="82" t="n">
        <v>2</v>
      </c>
      <c r="AR8" s="82" t="s">
        <v>41</v>
      </c>
      <c r="AS8" s="82" t="n">
        <v>1</v>
      </c>
      <c r="AT8" s="82" t="n">
        <v>2</v>
      </c>
      <c r="AU8" s="82" t="s">
        <v>41</v>
      </c>
      <c r="AV8" s="82" t="n">
        <v>1</v>
      </c>
      <c r="AW8" s="82" t="n">
        <v>1</v>
      </c>
      <c r="AX8" s="82" t="s">
        <v>38</v>
      </c>
      <c r="AY8" s="82" t="n">
        <v>1</v>
      </c>
      <c r="AZ8" s="82" t="n">
        <v>1</v>
      </c>
      <c r="BA8" s="82" t="s">
        <v>37</v>
      </c>
      <c r="BB8" s="82" t="n">
        <v>1</v>
      </c>
      <c r="BC8" s="82" t="n">
        <v>1</v>
      </c>
      <c r="BD8" s="82" t="s">
        <v>38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97</v>
      </c>
      <c r="C9" s="84" t="s">
        <v>35</v>
      </c>
      <c r="D9" s="85" t="s">
        <v>98</v>
      </c>
      <c r="E9" s="84"/>
      <c r="F9" s="86" t="n">
        <v>1</v>
      </c>
      <c r="G9" s="86" t="n">
        <v>1</v>
      </c>
      <c r="H9" s="86" t="s">
        <v>38</v>
      </c>
      <c r="I9" s="86"/>
      <c r="J9" s="86"/>
      <c r="K9" s="86"/>
      <c r="L9" s="86" t="n">
        <v>1</v>
      </c>
      <c r="M9" s="86" t="n">
        <v>2</v>
      </c>
      <c r="N9" s="86" t="s">
        <v>38</v>
      </c>
      <c r="O9" s="86" t="n">
        <v>2</v>
      </c>
      <c r="P9" s="86" t="n">
        <v>0</v>
      </c>
      <c r="Q9" s="86" t="s">
        <v>37</v>
      </c>
      <c r="R9" s="86" t="n">
        <v>2</v>
      </c>
      <c r="S9" s="86" t="n">
        <v>1</v>
      </c>
      <c r="T9" s="86" t="s">
        <v>37</v>
      </c>
      <c r="U9" s="86" t="n">
        <v>2</v>
      </c>
      <c r="V9" s="86" t="n">
        <v>2</v>
      </c>
      <c r="W9" s="86" t="s">
        <v>38</v>
      </c>
      <c r="X9" s="86" t="n">
        <v>1</v>
      </c>
      <c r="Y9" s="86" t="n">
        <v>1</v>
      </c>
      <c r="Z9" s="86" t="s">
        <v>38</v>
      </c>
      <c r="AA9" s="86" t="n">
        <v>1</v>
      </c>
      <c r="AB9" s="86" t="n">
        <v>1</v>
      </c>
      <c r="AC9" s="86" t="s">
        <v>38</v>
      </c>
      <c r="AD9" s="86" t="n">
        <v>2</v>
      </c>
      <c r="AE9" s="86" t="n">
        <v>1</v>
      </c>
      <c r="AF9" s="86" t="s">
        <v>37</v>
      </c>
      <c r="AG9" s="86" t="n">
        <v>1</v>
      </c>
      <c r="AH9" s="86" t="n">
        <v>1</v>
      </c>
      <c r="AI9" s="86" t="s">
        <v>38</v>
      </c>
      <c r="AJ9" s="86"/>
      <c r="AK9" s="86"/>
      <c r="AL9" s="86"/>
      <c r="AM9" s="86" t="n">
        <v>1</v>
      </c>
      <c r="AN9" s="86" t="n">
        <v>2</v>
      </c>
      <c r="AO9" s="86" t="s">
        <v>41</v>
      </c>
      <c r="AP9" s="86" t="n">
        <v>1</v>
      </c>
      <c r="AQ9" s="86" t="n">
        <v>2</v>
      </c>
      <c r="AR9" s="86" t="s">
        <v>38</v>
      </c>
      <c r="AS9" s="86" t="n">
        <v>2</v>
      </c>
      <c r="AT9" s="86" t="n">
        <v>1</v>
      </c>
      <c r="AU9" s="86" t="s">
        <v>37</v>
      </c>
      <c r="AV9" s="86" t="n">
        <v>1</v>
      </c>
      <c r="AW9" s="86" t="n">
        <v>1</v>
      </c>
      <c r="AX9" s="86" t="s">
        <v>38</v>
      </c>
      <c r="AY9" s="86" t="n">
        <v>1</v>
      </c>
      <c r="AZ9" s="86" t="n">
        <v>0</v>
      </c>
      <c r="BA9" s="86" t="s">
        <v>37</v>
      </c>
      <c r="BB9" s="86" t="n">
        <v>2</v>
      </c>
      <c r="BC9" s="86" t="n">
        <v>0</v>
      </c>
      <c r="BD9" s="86" t="s">
        <v>37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99</v>
      </c>
      <c r="G12" s="90"/>
      <c r="H12" s="90"/>
      <c r="I12" s="91"/>
      <c r="J12" s="91"/>
      <c r="K12" s="91"/>
      <c r="L12" s="92" t="s">
        <v>99</v>
      </c>
      <c r="M12" s="92"/>
      <c r="N12" s="92"/>
      <c r="O12" s="93" t="s">
        <v>99</v>
      </c>
      <c r="P12" s="93"/>
      <c r="Q12" s="93"/>
      <c r="R12" s="94" t="s">
        <v>100</v>
      </c>
      <c r="S12" s="94"/>
      <c r="T12" s="94"/>
      <c r="U12" s="95" t="s">
        <v>99</v>
      </c>
      <c r="V12" s="95"/>
      <c r="W12" s="95"/>
      <c r="X12" s="96" t="s">
        <v>99</v>
      </c>
      <c r="Y12" s="96"/>
      <c r="Z12" s="96"/>
      <c r="AA12" s="97" t="s">
        <v>96</v>
      </c>
      <c r="AB12" s="97"/>
      <c r="AC12" s="97"/>
      <c r="AD12" s="98" t="s">
        <v>101</v>
      </c>
      <c r="AE12" s="98"/>
      <c r="AF12" s="98"/>
      <c r="AG12" s="99" t="s">
        <v>102</v>
      </c>
      <c r="AH12" s="99"/>
      <c r="AI12" s="99"/>
      <c r="AJ12" s="100"/>
      <c r="AK12" s="100"/>
      <c r="AL12" s="100"/>
      <c r="AM12" s="101" t="s">
        <v>103</v>
      </c>
      <c r="AN12" s="101"/>
      <c r="AO12" s="101"/>
      <c r="AP12" s="102" t="s">
        <v>104</v>
      </c>
      <c r="AQ12" s="102"/>
      <c r="AR12" s="102"/>
      <c r="AS12" s="103" t="s">
        <v>97</v>
      </c>
      <c r="AT12" s="103"/>
      <c r="AU12" s="103"/>
      <c r="AV12" s="104" t="s">
        <v>105</v>
      </c>
      <c r="AW12" s="104"/>
      <c r="AX12" s="104"/>
      <c r="AY12" s="105" t="s">
        <v>99</v>
      </c>
      <c r="AZ12" s="105"/>
      <c r="BA12" s="105"/>
      <c r="BB12" s="106" t="s">
        <v>99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104</v>
      </c>
      <c r="G13" s="90"/>
      <c r="H13" s="90"/>
      <c r="I13" s="91"/>
      <c r="J13" s="91"/>
      <c r="K13" s="91"/>
      <c r="L13" s="92" t="s">
        <v>96</v>
      </c>
      <c r="M13" s="92"/>
      <c r="N13" s="92"/>
      <c r="O13" s="93" t="s">
        <v>97</v>
      </c>
      <c r="P13" s="93"/>
      <c r="Q13" s="93"/>
      <c r="R13" s="94" t="s">
        <v>96</v>
      </c>
      <c r="S13" s="94"/>
      <c r="T13" s="94"/>
      <c r="U13" s="95" t="s">
        <v>96</v>
      </c>
      <c r="V13" s="95"/>
      <c r="W13" s="95"/>
      <c r="X13" s="96" t="s">
        <v>96</v>
      </c>
      <c r="Y13" s="96"/>
      <c r="Z13" s="96"/>
      <c r="AA13" s="97" t="s">
        <v>99</v>
      </c>
      <c r="AB13" s="97"/>
      <c r="AC13" s="97"/>
      <c r="AD13" s="98" t="s">
        <v>96</v>
      </c>
      <c r="AE13" s="98"/>
      <c r="AF13" s="98"/>
      <c r="AG13" s="99" t="s">
        <v>104</v>
      </c>
      <c r="AH13" s="99"/>
      <c r="AI13" s="99"/>
      <c r="AJ13" s="100"/>
      <c r="AK13" s="100"/>
      <c r="AL13" s="100"/>
      <c r="AM13" s="101" t="s">
        <v>100</v>
      </c>
      <c r="AN13" s="101"/>
      <c r="AO13" s="101"/>
      <c r="AP13" s="102" t="s">
        <v>98</v>
      </c>
      <c r="AQ13" s="102"/>
      <c r="AR13" s="102"/>
      <c r="AS13" s="103" t="s">
        <v>104</v>
      </c>
      <c r="AT13" s="103"/>
      <c r="AU13" s="103"/>
      <c r="AV13" s="104" t="s">
        <v>106</v>
      </c>
      <c r="AW13" s="104"/>
      <c r="AX13" s="104"/>
      <c r="AY13" s="105" t="s">
        <v>104</v>
      </c>
      <c r="AZ13" s="105"/>
      <c r="BA13" s="105"/>
      <c r="BB13" s="106" t="s">
        <v>97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97</v>
      </c>
      <c r="G14" s="90"/>
      <c r="H14" s="90"/>
      <c r="I14" s="91"/>
      <c r="J14" s="91"/>
      <c r="K14" s="91"/>
      <c r="L14" s="92" t="s">
        <v>98</v>
      </c>
      <c r="M14" s="92"/>
      <c r="N14" s="92"/>
      <c r="O14" s="93" t="s">
        <v>96</v>
      </c>
      <c r="P14" s="93"/>
      <c r="Q14" s="93"/>
      <c r="R14" s="94" t="s">
        <v>97</v>
      </c>
      <c r="S14" s="94"/>
      <c r="T14" s="94"/>
      <c r="U14" s="95" t="s">
        <v>98</v>
      </c>
      <c r="V14" s="95"/>
      <c r="W14" s="95"/>
      <c r="X14" s="96" t="s">
        <v>97</v>
      </c>
      <c r="Y14" s="96"/>
      <c r="Z14" s="96"/>
      <c r="AA14" s="97" t="s">
        <v>98</v>
      </c>
      <c r="AB14" s="97"/>
      <c r="AC14" s="97"/>
      <c r="AD14" s="98" t="s">
        <v>107</v>
      </c>
      <c r="AE14" s="98"/>
      <c r="AF14" s="98"/>
      <c r="AG14" s="99" t="s">
        <v>101</v>
      </c>
      <c r="AH14" s="99"/>
      <c r="AI14" s="99"/>
      <c r="AJ14" s="100"/>
      <c r="AK14" s="100"/>
      <c r="AL14" s="100"/>
      <c r="AM14" s="101" t="s">
        <v>98</v>
      </c>
      <c r="AN14" s="101"/>
      <c r="AO14" s="101"/>
      <c r="AP14" s="102" t="s">
        <v>99</v>
      </c>
      <c r="AQ14" s="102"/>
      <c r="AR14" s="102"/>
      <c r="AS14" s="103" t="s">
        <v>100</v>
      </c>
      <c r="AT14" s="103"/>
      <c r="AU14" s="103"/>
      <c r="AV14" s="104" t="s">
        <v>108</v>
      </c>
      <c r="AW14" s="104"/>
      <c r="AX14" s="104"/>
      <c r="AY14" s="105" t="s">
        <v>97</v>
      </c>
      <c r="AZ14" s="105"/>
      <c r="BA14" s="105"/>
      <c r="BB14" s="106" t="s">
        <v>96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X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2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X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X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AE17" s="113"/>
      <c r="AF17" s="113"/>
      <c r="AG17" s="122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2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AQ17" s="113"/>
      <c r="AR17" s="113"/>
      <c r="AS17" s="126" t="n">
        <f aca="false">IF(AND(BE4&lt;&gt;"",BF4&lt;&gt;""),IF(IF(BE4&gt;BF4,"1",IF(BE4&lt;BF4,"2","X"))="2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AZ17" s="113"/>
      <c r="BA17" s="113"/>
      <c r="BB17" s="129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X",1,0),0)+IF(AND(BE9&lt;&gt;"",BF9&lt;&gt;""),IF(IF(BE9&gt;BF9,"1",IF(BE9&lt;BF9,"2","X"))="1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1,BF4=0),3,0),0)+IF(AND(BE5&lt;&gt;"",BF5&lt;&gt;""),IF(AND(BE5=0,BF5=2),3,0),0)+IF(AND(BE6&lt;&gt;"",BF6&lt;&gt;""),IF(AND(BE6=0,BF6=0),3,0),0)+IF(AND(BE7&lt;&gt;"",BF7&lt;&gt;""),IF(AND(BE7=3,BF7=1),3,0),0)+IF(AND(BE8&lt;&gt;"",BF8&lt;&gt;""),IF(AND(BE8=2,BF8=1),3,0),0)+IF(AND(BE9&lt;&gt;"",BF9&lt;&gt;""),IF(AND(BE9=1,BF9=1)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2,BF4=1),3,0),0)+IF(AND(BE5&lt;&gt;"",BF5&lt;&gt;""),IF(AND(BE5=0,BF5=1),3,0),0)+IF(AND(BE6&lt;&gt;"",BF6&lt;&gt;""),IF(AND(BE6=3,BF6=1),3,0),0)+IF(AND(BE7&lt;&gt;"",BF7&lt;&gt;""),IF(AND(BE7=2,BF7=0),3,0),0)+IF(AND(BE8&lt;&gt;"",BF8&lt;&gt;""),IF(AND(BE8=1,BF8=0),3,0),0)+IF(AND(BE9&lt;&gt;"",BF9&lt;&gt;""),IF(AND(BE9=1,BF9=2),3,0),0)</f>
        <v>0</v>
      </c>
      <c r="M18" s="133"/>
      <c r="N18" s="133"/>
      <c r="O18" s="136" t="n">
        <f aca="false">IF(AND(BE4&lt;&gt;"",BF4&lt;&gt;""),IF(AND(BE4=0,BF4=1),3,0),0)+IF(AND(BE5&lt;&gt;"",BF5&lt;&gt;""),IF(AND(BE5=0,BF5=2),3,0),0)+IF(AND(BE6&lt;&gt;"",BF6&lt;&gt;""),IF(AND(BE6=1,BF6=1),3,0),0)+IF(AND(BE7&lt;&gt;"",BF7&lt;&gt;""),IF(AND(BE7=2,BF7=0),3,0),0)+IF(AND(BE8&lt;&gt;"",BF8&lt;&gt;""),IF(AND(BE8=2,BF8=1),3,0),0)+IF(AND(BE9&lt;&gt;"",BF9&lt;&gt;""),IF(AND(BE9=2,BF9=0),3,0),0)</f>
        <v>0</v>
      </c>
      <c r="P18" s="133"/>
      <c r="Q18" s="133"/>
      <c r="R18" s="137" t="n">
        <f aca="false">IF(AND(BE4&lt;&gt;"",BF4&lt;&gt;""),IF(AND(BE4=2,BF4=1),3,0),0)+IF(AND(BE5&lt;&gt;"",BF5&lt;&gt;""),IF(AND(BE5=1,BF5=3),3,0),0)+IF(AND(BE6&lt;&gt;"",BF6&lt;&gt;""),IF(AND(BE6=1,BF6=2),3,0),0)+IF(AND(BE7&lt;&gt;"",BF7&lt;&gt;""),IF(AND(BE7=3,BF7=1),3,0),0)+IF(AND(BE8&lt;&gt;"",BF8&lt;&gt;""),IF(AND(BE8=3,BF8=1),3,0),0)+IF(AND(BE9&lt;&gt;"",BF9&lt;&gt;""),IF(AND(BE9=2,BF9=1),3,0),0)</f>
        <v>0</v>
      </c>
      <c r="S18" s="133"/>
      <c r="T18" s="133"/>
      <c r="U18" s="138" t="n">
        <f aca="false">IF(AND(BE4&lt;&gt;"",BF4&lt;&gt;""),IF(AND(BE4=2,BF4=1),3,0),0)+IF(AND(BE5&lt;&gt;"",BF5&lt;&gt;""),IF(AND(BE5=1,BF5=2),3,0),0)+IF(AND(BE6&lt;&gt;"",BF6&lt;&gt;""),IF(AND(BE6=1,BF6=0),3,0),0)+IF(AND(BE7&lt;&gt;"",BF7&lt;&gt;""),IF(AND(BE7=2,BF7=0),3,0),0)+IF(AND(BE8&lt;&gt;"",BF8&lt;&gt;""),IF(AND(BE8=3,BF8=1),3,0),0)+IF(AND(BE9&lt;&gt;"",BF9&lt;&gt;""),IF(AND(BE9=2,BF9=2),3,0),0)</f>
        <v>0</v>
      </c>
      <c r="V18" s="133"/>
      <c r="W18" s="133"/>
      <c r="X18" s="139" t="n">
        <f aca="false">IF(AND(BE4&lt;&gt;"",BF4&lt;&gt;""),IF(AND(BE4=2,BF4=0),3,0),0)+IF(AND(BE5&lt;&gt;"",BF5&lt;&gt;""),IF(AND(BE5=1,BF5=3),3,0),0)+IF(AND(BE6&lt;&gt;"",BF6&lt;&gt;""),IF(AND(BE6=3,BF6=1),3,0),0)+IF(AND(BE7&lt;&gt;"",BF7&lt;&gt;""),IF(AND(BE7=3,BF7=1),3,0),0)+IF(AND(BE8&lt;&gt;"",BF8&lt;&gt;""),IF(AND(BE8=2,BF8=2),3,0),0)+IF(AND(BE9&lt;&gt;"",BF9&lt;&gt;""),IF(AND(BE9=1,BF9=1),3,0),0)</f>
        <v>0</v>
      </c>
      <c r="Y18" s="133"/>
      <c r="Z18" s="133"/>
      <c r="AA18" s="140" t="n">
        <f aca="false">IF(AND(BE4&lt;&gt;"",BF4&lt;&gt;""),IF(AND(BE4=2,BF4=0),3,0),0)+IF(AND(BE5&lt;&gt;"",BF5&lt;&gt;""),IF(AND(BE5=1,BF5=1),3,0),0)+IF(AND(BE6&lt;&gt;"",BF6&lt;&gt;""),IF(AND(BE6=2,BF6=1),3,0),0)+IF(AND(BE7&lt;&gt;"",BF7&lt;&gt;""),IF(AND(BE7=2,BF7=1),3,0),0)+IF(AND(BE8&lt;&gt;"",BF8&lt;&gt;""),IF(AND(BE8=0,BF8=1),3,0),0)+IF(AND(BE9&lt;&gt;"",BF9&lt;&gt;""),IF(AND(BE9=1,BF9=1),3,0),0)</f>
        <v>0</v>
      </c>
      <c r="AB18" s="133"/>
      <c r="AC18" s="133"/>
      <c r="AD18" s="141" t="n">
        <f aca="false">IF(AND(BE4&lt;&gt;"",BF4&lt;&gt;""),IF(AND(BE4=2,BF4=2),3,0),0)+IF(AND(BE5&lt;&gt;"",BF5&lt;&gt;""),IF(AND(BE5=0,BF5=2),3,0),0)+IF(AND(BE6&lt;&gt;"",BF6&lt;&gt;""),IF(AND(BE6=2,BF6=1),3,0),0)+IF(AND(BE7&lt;&gt;"",BF7&lt;&gt;""),IF(AND(BE7=0,BF7=0),3,0),0)+IF(AND(BE8&lt;&gt;"",BF8&lt;&gt;""),IF(AND(BE8=2,BF8=2),3,0),0)+IF(AND(BE9&lt;&gt;"",BF9&lt;&gt;""),IF(AND(BE9=2,BF9=1),3,0),0)</f>
        <v>0</v>
      </c>
      <c r="AE18" s="133"/>
      <c r="AF18" s="133"/>
      <c r="AG18" s="142" t="n">
        <f aca="false">IF(AND(BE4&lt;&gt;"",BF4&lt;&gt;""),IF(AND(BE4=2,BF4=1),3,0),0)+IF(AND(BE5&lt;&gt;"",BF5&lt;&gt;""),IF(AND(BE5=1,BF5=3),3,0),0)+IF(AND(BE6&lt;&gt;"",BF6&lt;&gt;""),IF(AND(BE6=2,BF6=1),3,0),0)+IF(AND(BE7&lt;&gt;"",BF7&lt;&gt;""),IF(AND(BE7=2,BF7=1),3,0),0)+IF(AND(BE8&lt;&gt;"",BF8&lt;&gt;""),IF(AND(BE8=2,BF8=2),3,0),0)+IF(AND(BE9&lt;&gt;"",BF9&lt;&gt;""),IF(AND(BE9=1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2,BF4=1),3,0),0)+IF(AND(BE5&lt;&gt;"",BF5&lt;&gt;""),IF(AND(BE5=1,BF5=1),3,0),0)+IF(AND(BE6&lt;&gt;"",BF6&lt;&gt;""),IF(AND(BE6=2,BF6=0),3,0),0)+IF(AND(BE7&lt;&gt;"",BF7&lt;&gt;""),IF(AND(BE7=2,BF7=1),3,0),0)+IF(AND(BE8&lt;&gt;"",BF8&lt;&gt;""),IF(AND(BE8=1,BF8=1),3,0),0)+IF(AND(BE9&lt;&gt;"",BF9&lt;&gt;""),IF(AND(BE9=1,BF9=2),3,0),0)</f>
        <v>0</v>
      </c>
      <c r="AN18" s="133"/>
      <c r="AO18" s="133"/>
      <c r="AP18" s="145" t="n">
        <f aca="false">IF(AND(BE4&lt;&gt;"",BF4&lt;&gt;""),IF(AND(BE4=2,BF4=0),3,0),0)+IF(AND(BE5&lt;&gt;"",BF5&lt;&gt;""),IF(AND(BE5=1,BF5=1),3,0),0)+IF(AND(BE6&lt;&gt;"",BF6&lt;&gt;""),IF(AND(BE6=2,BF6=0),3,0),0)+IF(AND(BE7&lt;&gt;"",BF7&lt;&gt;""),IF(AND(BE7=3,BF7=1),3,0),0)+IF(AND(BE8&lt;&gt;"",BF8&lt;&gt;""),IF(AND(BE8=0,BF8=2),3,0),0)+IF(AND(BE9&lt;&gt;"",BF9&lt;&gt;""),IF(AND(BE9=1,BF9=2),3,0),0)</f>
        <v>0</v>
      </c>
      <c r="AQ18" s="133"/>
      <c r="AR18" s="133"/>
      <c r="AS18" s="146" t="n">
        <f aca="false">IF(AND(BE4&lt;&gt;"",BF4&lt;&gt;""),IF(AND(BE4=0,BF4=1),3,0),0)+IF(AND(BE5&lt;&gt;"",BF5&lt;&gt;""),IF(AND(BE5=2,BF5=2),3,0),0)+IF(AND(BE6&lt;&gt;"",BF6&lt;&gt;""),IF(AND(BE6=2,BF6=1),3,0),0)+IF(AND(BE7&lt;&gt;"",BF7&lt;&gt;""),IF(AND(BE7=0,BF7=2),3,0),0)+IF(AND(BE8&lt;&gt;"",BF8&lt;&gt;""),IF(AND(BE8=1,BF8=2),3,0),0)+IF(AND(BE9&lt;&gt;"",BF9&lt;&gt;""),IF(AND(BE9=2,BF9=1),3,0),0)</f>
        <v>0</v>
      </c>
      <c r="AT18" s="133"/>
      <c r="AU18" s="133"/>
      <c r="AV18" s="147" t="n">
        <f aca="false">IF(AND(BE4&lt;&gt;"",BF4&lt;&gt;""),IF(AND(BE4=2,BF4=1),3,0),0)+IF(AND(BE5&lt;&gt;"",BF5&lt;&gt;""),IF(AND(BE5=1,BF5=2),3,0),0)+IF(AND(BE6&lt;&gt;"",BF6&lt;&gt;""),IF(AND(BE6=1,BF6=1),3,0),0)+IF(AND(BE7&lt;&gt;"",BF7&lt;&gt;""),IF(AND(BE7=2,BF7=1),3,0),0)+IF(AND(BE8&lt;&gt;"",BF8&lt;&gt;""),IF(AND(BE8=1,BF8=1),3,0),0)+IF(AND(BE9&lt;&gt;"",BF9&lt;&gt;""),IF(AND(BE9=1,BF9=1),3,0),0)</f>
        <v>0</v>
      </c>
      <c r="AW18" s="133"/>
      <c r="AX18" s="133"/>
      <c r="AY18" s="148" t="n">
        <f aca="false">IF(AND(BE4&lt;&gt;"",BF4&lt;&gt;""),IF(AND(BE4=1,BF4=1),3,0),0)+IF(AND(BE5&lt;&gt;"",BF5&lt;&gt;""),IF(AND(BE5=0,BF5=1),3,0),0)+IF(AND(BE6&lt;&gt;"",BF6&lt;&gt;""),IF(AND(BE6=2,BF6=1),3,0),0)+IF(AND(BE7&lt;&gt;"",BF7&lt;&gt;""),IF(AND(BE7=1,BF7=3),3,0),0)+IF(AND(BE8&lt;&gt;"",BF8&lt;&gt;""),IF(AND(BE8=1,BF8=1),3,0),0)+IF(AND(BE9&lt;&gt;"",BF9&lt;&gt;""),IF(AND(BE9=1,BF9=0),3,0),0)</f>
        <v>0</v>
      </c>
      <c r="AZ18" s="133"/>
      <c r="BA18" s="133"/>
      <c r="BB18" s="149" t="n">
        <f aca="false">IF(AND(BE4&lt;&gt;"",BF4&lt;&gt;""),IF(AND(BE4=1,BF4=1),3,0),0)+IF(AND(BE5&lt;&gt;"",BF5&lt;&gt;""),IF(AND(BE5=1,BF5=3),3,0),0)+IF(AND(BE6&lt;&gt;"",BF6&lt;&gt;""),IF(AND(BE6=1,BF6=0),3,0),0)+IF(AND(BE7&lt;&gt;"",BF7&lt;&gt;""),IF(AND(BE7=2,BF7=2),3,0),0)+IF(AND(BE8&lt;&gt;"",BF8&lt;&gt;""),IF(AND(BE8=1,BF8=1),3,0),0)+IF(AND(BE9&lt;&gt;"",BF9&lt;&gt;""),IF(AND(BE9=2,BF9=0)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IF(C12&lt;&gt;"",IF(C12="Turquía",4,0),0)+IF(C13&lt;&gt;"",IF(C13="EEUU",2,0),0)+IF(C14&lt;&gt;"",IF(C14="Paraguay",1,0),0)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IF(C12&lt;&gt;"",IF(C12="Turquía",4,0),0)+IF(C13&lt;&gt;"",IF(C13="EE.UU.",2,0),0)+IF(C14&lt;&gt;"",IF(C14="Australia",1,0),0)</f>
        <v>0</v>
      </c>
      <c r="M19" s="152"/>
      <c r="N19" s="152"/>
      <c r="O19" s="155" t="n">
        <f aca="false">IF(C12&lt;&gt;"",IF(C12="Turquía",4,0),0)+IF(C13&lt;&gt;"",IF(C13="Paraguay",2,0),0)+IF(C14&lt;&gt;"",IF(C14="EE.UU.",1,0),0)</f>
        <v>0</v>
      </c>
      <c r="P19" s="152"/>
      <c r="Q19" s="152"/>
      <c r="R19" s="156" t="n">
        <f aca="false">IF(C12&lt;&gt;"",IF(C12="Turquia",4,0),0)+IF(C13&lt;&gt;"",IF(C13="EE.UU.",2,0),0)+IF(C14&lt;&gt;"",IF(C14="Paraguay",1,0),0)</f>
        <v>0</v>
      </c>
      <c r="S19" s="152"/>
      <c r="T19" s="152"/>
      <c r="U19" s="157" t="n">
        <f aca="false">IF(C12&lt;&gt;"",IF(C12="Turquía",4,0),0)+IF(C13&lt;&gt;"",IF(C13="EE.UU.",2,0),0)+IF(C14&lt;&gt;"",IF(C14="Australia",1,0),0)</f>
        <v>0</v>
      </c>
      <c r="V19" s="152"/>
      <c r="W19" s="152"/>
      <c r="X19" s="158" t="n">
        <f aca="false">IF(C12&lt;&gt;"",IF(C12="Turquía",4,0),0)+IF(C13&lt;&gt;"",IF(C13="EE.UU.",2,0),0)+IF(C14&lt;&gt;"",IF(C14="Paraguay",1,0),0)</f>
        <v>0</v>
      </c>
      <c r="Y19" s="152"/>
      <c r="Z19" s="152"/>
      <c r="AA19" s="159" t="n">
        <f aca="false">IF(C12&lt;&gt;"",IF(C12="EE.UU.",4,0),0)+IF(C13&lt;&gt;"",IF(C13="Turquía",2,0),0)+IF(C14&lt;&gt;"",IF(C14="Australia",1,0),0)</f>
        <v>0</v>
      </c>
      <c r="AB19" s="152"/>
      <c r="AC19" s="152"/>
      <c r="AD19" s="160" t="n">
        <f aca="false">IF(C12&lt;&gt;"",IF(C12="PARAGUAY",4,0),0)+IF(C13&lt;&gt;"",IF(C13="EE.UU.",2,0),0)+IF(C14&lt;&gt;"",IF(C14="TURQUIA",1,0),0)</f>
        <v>0</v>
      </c>
      <c r="AE19" s="152"/>
      <c r="AF19" s="152"/>
      <c r="AG19" s="161" t="n">
        <f aca="false">IF(C12&lt;&gt;"",IF(C12="TURQUÍA",4,0),0)+IF(C13&lt;&gt;"",IF(C13="EEUU",2,0),0)+IF(C14&lt;&gt;"",IF(C14="PARAGUAY",1,0),0)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IF(C12&lt;&gt;"",IF(C12="EE UU",4,0),0)+IF(C13&lt;&gt;"",IF(C13="Turquia",2,0),0)+IF(C14&lt;&gt;"",IF(C14="Australia",1,0),0)</f>
        <v>0</v>
      </c>
      <c r="AN19" s="152"/>
      <c r="AO19" s="152"/>
      <c r="AP19" s="164" t="n">
        <f aca="false">IF(C12&lt;&gt;"",IF(C12="EEUU",4,0),0)+IF(C13&lt;&gt;"",IF(C13="Australia",2,0),0)+IF(C14&lt;&gt;"",IF(C14="Turquía",1,0),0)</f>
        <v>0</v>
      </c>
      <c r="AQ19" s="152"/>
      <c r="AR19" s="152"/>
      <c r="AS19" s="165" t="n">
        <f aca="false">IF(C12&lt;&gt;"",IF(C12="Paraguay",4,0),0)+IF(C13&lt;&gt;"",IF(C13="EEUU",2,0),0)+IF(C14&lt;&gt;"",IF(C14="Turquia",1,0),0)</f>
        <v>0</v>
      </c>
      <c r="AT19" s="152"/>
      <c r="AU19" s="152"/>
      <c r="AV19" s="166" t="n">
        <f aca="false">IF(C12&lt;&gt;"",IF(C12="turquia",4,0),0)+IF(C13&lt;&gt;"",IF(C13="eeuu",2,0),0)+IF(C14&lt;&gt;"",IF(C14="australia",1,0),0)</f>
        <v>0</v>
      </c>
      <c r="AW19" s="152"/>
      <c r="AX19" s="152"/>
      <c r="AY19" s="167" t="n">
        <f aca="false">IF(C12&lt;&gt;"",IF(C12="Turquía",4,0),0)+IF(C13&lt;&gt;"",IF(C13="EEUU",2,0),0)+IF(C14&lt;&gt;"",IF(C14="Paraguay",1,0),0)</f>
        <v>0</v>
      </c>
      <c r="AZ19" s="152"/>
      <c r="BA19" s="152"/>
      <c r="BB19" s="168" t="n">
        <f aca="false">IF(C12&lt;&gt;"",IF(C12="Turquía",4,0),0)+IF(C13&lt;&gt;"",IF(C13="Paraguay",2,0),0)+IF(C14&lt;&gt;"",IF(C14="EE.UU.",1,0),0)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109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110</v>
      </c>
      <c r="C4" s="80" t="s">
        <v>35</v>
      </c>
      <c r="D4" s="81" t="s">
        <v>111</v>
      </c>
      <c r="E4" s="80"/>
      <c r="F4" s="82" t="n">
        <v>2</v>
      </c>
      <c r="G4" s="82" t="n">
        <v>0</v>
      </c>
      <c r="H4" s="82" t="s">
        <v>37</v>
      </c>
      <c r="I4" s="82"/>
      <c r="J4" s="82"/>
      <c r="K4" s="82"/>
      <c r="L4" s="82" t="n">
        <v>6</v>
      </c>
      <c r="M4" s="82" t="n">
        <v>0</v>
      </c>
      <c r="N4" s="82" t="s">
        <v>37</v>
      </c>
      <c r="O4" s="82" t="n">
        <v>4</v>
      </c>
      <c r="P4" s="82" t="n">
        <v>0</v>
      </c>
      <c r="Q4" s="82" t="s">
        <v>37</v>
      </c>
      <c r="R4" s="82" t="n">
        <v>6</v>
      </c>
      <c r="S4" s="82" t="n">
        <v>1</v>
      </c>
      <c r="T4" s="82" t="s">
        <v>37</v>
      </c>
      <c r="U4" s="82" t="n">
        <v>6</v>
      </c>
      <c r="V4" s="82" t="n">
        <v>0</v>
      </c>
      <c r="W4" s="82" t="s">
        <v>37</v>
      </c>
      <c r="X4" s="82" t="n">
        <v>6</v>
      </c>
      <c r="Y4" s="82" t="n">
        <v>0</v>
      </c>
      <c r="Z4" s="82" t="s">
        <v>37</v>
      </c>
      <c r="AA4" s="82" t="n">
        <v>4</v>
      </c>
      <c r="AB4" s="82" t="n">
        <v>0</v>
      </c>
      <c r="AC4" s="82" t="s">
        <v>37</v>
      </c>
      <c r="AD4" s="82" t="n">
        <v>2</v>
      </c>
      <c r="AE4" s="82" t="n">
        <v>0</v>
      </c>
      <c r="AF4" s="82" t="s">
        <v>37</v>
      </c>
      <c r="AG4" s="82" t="n">
        <v>4</v>
      </c>
      <c r="AH4" s="82" t="n">
        <v>0</v>
      </c>
      <c r="AI4" s="82" t="s">
        <v>37</v>
      </c>
      <c r="AJ4" s="82"/>
      <c r="AK4" s="82"/>
      <c r="AL4" s="82"/>
      <c r="AM4" s="82" t="n">
        <v>3</v>
      </c>
      <c r="AN4" s="82" t="n">
        <v>0</v>
      </c>
      <c r="AO4" s="82" t="s">
        <v>37</v>
      </c>
      <c r="AP4" s="82" t="n">
        <v>4</v>
      </c>
      <c r="AQ4" s="82" t="n">
        <v>0</v>
      </c>
      <c r="AR4" s="82" t="s">
        <v>37</v>
      </c>
      <c r="AS4" s="82" t="n">
        <v>3</v>
      </c>
      <c r="AT4" s="82" t="n">
        <v>0</v>
      </c>
      <c r="AU4" s="82" t="s">
        <v>37</v>
      </c>
      <c r="AV4" s="82" t="n">
        <v>3</v>
      </c>
      <c r="AW4" s="82" t="n">
        <v>0</v>
      </c>
      <c r="AX4" s="82" t="s">
        <v>37</v>
      </c>
      <c r="AY4" s="82" t="n">
        <v>4</v>
      </c>
      <c r="AZ4" s="82" t="n">
        <v>0</v>
      </c>
      <c r="BA4" s="82" t="s">
        <v>37</v>
      </c>
      <c r="BB4" s="82" t="n">
        <v>6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112</v>
      </c>
      <c r="C5" s="84" t="s">
        <v>35</v>
      </c>
      <c r="D5" s="85" t="s">
        <v>113</v>
      </c>
      <c r="E5" s="84"/>
      <c r="F5" s="86" t="n">
        <v>0</v>
      </c>
      <c r="G5" s="86" t="n">
        <v>3</v>
      </c>
      <c r="H5" s="86" t="s">
        <v>41</v>
      </c>
      <c r="I5" s="86"/>
      <c r="J5" s="86"/>
      <c r="K5" s="86"/>
      <c r="L5" s="86" t="n">
        <v>1</v>
      </c>
      <c r="M5" s="86" t="n">
        <v>2</v>
      </c>
      <c r="N5" s="86" t="s">
        <v>38</v>
      </c>
      <c r="O5" s="86" t="n">
        <v>1</v>
      </c>
      <c r="P5" s="86" t="n">
        <v>1</v>
      </c>
      <c r="Q5" s="86" t="s">
        <v>38</v>
      </c>
      <c r="R5" s="86" t="n">
        <v>1</v>
      </c>
      <c r="S5" s="86" t="n">
        <v>3</v>
      </c>
      <c r="T5" s="86" t="s">
        <v>41</v>
      </c>
      <c r="U5" s="86" t="n">
        <v>1</v>
      </c>
      <c r="V5" s="86" t="n">
        <v>2</v>
      </c>
      <c r="W5" s="86" t="s">
        <v>41</v>
      </c>
      <c r="X5" s="86" t="n">
        <v>1</v>
      </c>
      <c r="Y5" s="86" t="n">
        <v>1</v>
      </c>
      <c r="Z5" s="86" t="s">
        <v>38</v>
      </c>
      <c r="AA5" s="86" t="n">
        <v>1</v>
      </c>
      <c r="AB5" s="86" t="n">
        <v>1</v>
      </c>
      <c r="AC5" s="86" t="s">
        <v>38</v>
      </c>
      <c r="AD5" s="86" t="n">
        <v>1</v>
      </c>
      <c r="AE5" s="86" t="n">
        <v>1</v>
      </c>
      <c r="AF5" s="86" t="s">
        <v>41</v>
      </c>
      <c r="AG5" s="86" t="n">
        <v>1</v>
      </c>
      <c r="AH5" s="86" t="n">
        <v>2</v>
      </c>
      <c r="AI5" s="86" t="s">
        <v>41</v>
      </c>
      <c r="AJ5" s="86"/>
      <c r="AK5" s="86"/>
      <c r="AL5" s="86"/>
      <c r="AM5" s="86" t="n">
        <v>1</v>
      </c>
      <c r="AN5" s="86" t="n">
        <v>1</v>
      </c>
      <c r="AO5" s="86" t="s">
        <v>38</v>
      </c>
      <c r="AP5" s="86" t="n">
        <v>2</v>
      </c>
      <c r="AQ5" s="86" t="n">
        <v>1</v>
      </c>
      <c r="AR5" s="86" t="s">
        <v>41</v>
      </c>
      <c r="AS5" s="86" t="n">
        <v>2</v>
      </c>
      <c r="AT5" s="86" t="n">
        <v>0</v>
      </c>
      <c r="AU5" s="86" t="s">
        <v>37</v>
      </c>
      <c r="AV5" s="86" t="n">
        <v>1</v>
      </c>
      <c r="AW5" s="86" t="n">
        <v>2</v>
      </c>
      <c r="AX5" s="86" t="s">
        <v>41</v>
      </c>
      <c r="AY5" s="86" t="n">
        <v>1</v>
      </c>
      <c r="AZ5" s="86" t="n">
        <v>2</v>
      </c>
      <c r="BA5" s="86" t="s">
        <v>41</v>
      </c>
      <c r="BB5" s="86" t="n">
        <v>0</v>
      </c>
      <c r="BC5" s="86" t="n">
        <v>1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110</v>
      </c>
      <c r="C6" s="80" t="s">
        <v>35</v>
      </c>
      <c r="D6" s="81" t="s">
        <v>112</v>
      </c>
      <c r="E6" s="80"/>
      <c r="F6" s="82" t="n">
        <v>1</v>
      </c>
      <c r="G6" s="82" t="n">
        <v>1</v>
      </c>
      <c r="H6" s="82" t="s">
        <v>38</v>
      </c>
      <c r="I6" s="82"/>
      <c r="J6" s="82"/>
      <c r="K6" s="82"/>
      <c r="L6" s="82" t="n">
        <v>3</v>
      </c>
      <c r="M6" s="82" t="n">
        <v>1</v>
      </c>
      <c r="N6" s="82" t="s">
        <v>37</v>
      </c>
      <c r="O6" s="82" t="n">
        <v>2</v>
      </c>
      <c r="P6" s="82" t="n">
        <v>1</v>
      </c>
      <c r="Q6" s="82" t="s">
        <v>37</v>
      </c>
      <c r="R6" s="82" t="n">
        <v>3</v>
      </c>
      <c r="S6" s="82" t="n">
        <v>1</v>
      </c>
      <c r="T6" s="82" t="s">
        <v>37</v>
      </c>
      <c r="U6" s="82" t="n">
        <v>2</v>
      </c>
      <c r="V6" s="82" t="n">
        <v>2</v>
      </c>
      <c r="W6" s="82" t="s">
        <v>38</v>
      </c>
      <c r="X6" s="82" t="n">
        <v>2</v>
      </c>
      <c r="Y6" s="82" t="n">
        <v>1</v>
      </c>
      <c r="Z6" s="82" t="s">
        <v>37</v>
      </c>
      <c r="AA6" s="82" t="n">
        <v>2</v>
      </c>
      <c r="AB6" s="82" t="n">
        <v>1</v>
      </c>
      <c r="AC6" s="82" t="s">
        <v>37</v>
      </c>
      <c r="AD6" s="82" t="n">
        <v>1</v>
      </c>
      <c r="AE6" s="82" t="n">
        <v>0</v>
      </c>
      <c r="AF6" s="82" t="s">
        <v>37</v>
      </c>
      <c r="AG6" s="82" t="n">
        <v>2</v>
      </c>
      <c r="AH6" s="82" t="n">
        <v>1</v>
      </c>
      <c r="AI6" s="82" t="s">
        <v>37</v>
      </c>
      <c r="AJ6" s="82"/>
      <c r="AK6" s="82"/>
      <c r="AL6" s="82"/>
      <c r="AM6" s="82" t="n">
        <v>2</v>
      </c>
      <c r="AN6" s="82" t="n">
        <v>1</v>
      </c>
      <c r="AO6" s="82" t="s">
        <v>37</v>
      </c>
      <c r="AP6" s="82" t="n">
        <v>1</v>
      </c>
      <c r="AQ6" s="82" t="n">
        <v>0</v>
      </c>
      <c r="AR6" s="82" t="s">
        <v>41</v>
      </c>
      <c r="AS6" s="82" t="n">
        <v>2</v>
      </c>
      <c r="AT6" s="82" t="n">
        <v>0</v>
      </c>
      <c r="AU6" s="82" t="s">
        <v>37</v>
      </c>
      <c r="AV6" s="82" t="n">
        <v>2</v>
      </c>
      <c r="AW6" s="82" t="n">
        <v>0</v>
      </c>
      <c r="AX6" s="82" t="s">
        <v>37</v>
      </c>
      <c r="AY6" s="82" t="n">
        <v>3</v>
      </c>
      <c r="AZ6" s="82" t="n">
        <v>1</v>
      </c>
      <c r="BA6" s="82" t="s">
        <v>37</v>
      </c>
      <c r="BB6" s="82" t="n">
        <v>2</v>
      </c>
      <c r="BC6" s="82" t="n">
        <v>1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113</v>
      </c>
      <c r="C7" s="84" t="s">
        <v>35</v>
      </c>
      <c r="D7" s="85" t="s">
        <v>111</v>
      </c>
      <c r="E7" s="84"/>
      <c r="F7" s="86" t="n">
        <v>6</v>
      </c>
      <c r="G7" s="86" t="n">
        <v>1</v>
      </c>
      <c r="H7" s="86" t="s">
        <v>37</v>
      </c>
      <c r="I7" s="86"/>
      <c r="J7" s="86"/>
      <c r="K7" s="86"/>
      <c r="L7" s="86" t="n">
        <v>3</v>
      </c>
      <c r="M7" s="86" t="n">
        <v>0</v>
      </c>
      <c r="N7" s="86" t="s">
        <v>37</v>
      </c>
      <c r="O7" s="86" t="n">
        <v>2</v>
      </c>
      <c r="P7" s="86" t="n">
        <v>0</v>
      </c>
      <c r="Q7" s="86" t="s">
        <v>37</v>
      </c>
      <c r="R7" s="86" t="n">
        <v>2</v>
      </c>
      <c r="S7" s="86" t="n">
        <v>0</v>
      </c>
      <c r="T7" s="86" t="s">
        <v>37</v>
      </c>
      <c r="U7" s="86" t="n">
        <v>3</v>
      </c>
      <c r="V7" s="86" t="n">
        <v>0</v>
      </c>
      <c r="W7" s="86" t="s">
        <v>37</v>
      </c>
      <c r="X7" s="86" t="n">
        <v>3</v>
      </c>
      <c r="Y7" s="86" t="n">
        <v>0</v>
      </c>
      <c r="Z7" s="86" t="s">
        <v>37</v>
      </c>
      <c r="AA7" s="86" t="n">
        <v>3</v>
      </c>
      <c r="AB7" s="86" t="n">
        <v>0</v>
      </c>
      <c r="AC7" s="86" t="s">
        <v>37</v>
      </c>
      <c r="AD7" s="86" t="n">
        <v>2</v>
      </c>
      <c r="AE7" s="86" t="n">
        <v>0</v>
      </c>
      <c r="AF7" s="86" t="s">
        <v>37</v>
      </c>
      <c r="AG7" s="86" t="n">
        <v>3</v>
      </c>
      <c r="AH7" s="86" t="n">
        <v>1</v>
      </c>
      <c r="AI7" s="86" t="s">
        <v>37</v>
      </c>
      <c r="AJ7" s="86"/>
      <c r="AK7" s="86"/>
      <c r="AL7" s="86"/>
      <c r="AM7" s="86" t="n">
        <v>2</v>
      </c>
      <c r="AN7" s="86" t="n">
        <v>0</v>
      </c>
      <c r="AO7" s="86" t="s">
        <v>37</v>
      </c>
      <c r="AP7" s="86" t="n">
        <v>3</v>
      </c>
      <c r="AQ7" s="86" t="n">
        <v>0</v>
      </c>
      <c r="AR7" s="86" t="s">
        <v>37</v>
      </c>
      <c r="AS7" s="86" t="n">
        <v>2</v>
      </c>
      <c r="AT7" s="86" t="n">
        <v>1</v>
      </c>
      <c r="AU7" s="86" t="s">
        <v>37</v>
      </c>
      <c r="AV7" s="86" t="n">
        <v>2</v>
      </c>
      <c r="AW7" s="86" t="n">
        <v>0</v>
      </c>
      <c r="AX7" s="86" t="s">
        <v>37</v>
      </c>
      <c r="AY7" s="86" t="n">
        <v>2</v>
      </c>
      <c r="AZ7" s="86" t="n">
        <v>0</v>
      </c>
      <c r="BA7" s="86" t="s">
        <v>37</v>
      </c>
      <c r="BB7" s="86" t="n">
        <v>4</v>
      </c>
      <c r="BC7" s="86" t="n">
        <v>0</v>
      </c>
      <c r="BD7" s="86" t="s">
        <v>37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113</v>
      </c>
      <c r="C8" s="80" t="s">
        <v>35</v>
      </c>
      <c r="D8" s="81" t="s">
        <v>110</v>
      </c>
      <c r="E8" s="80"/>
      <c r="F8" s="82" t="n">
        <v>2</v>
      </c>
      <c r="G8" s="82" t="n">
        <v>0</v>
      </c>
      <c r="H8" s="82" t="s">
        <v>37</v>
      </c>
      <c r="I8" s="82"/>
      <c r="J8" s="82"/>
      <c r="K8" s="82"/>
      <c r="L8" s="82" t="n">
        <v>0</v>
      </c>
      <c r="M8" s="82" t="n">
        <v>2</v>
      </c>
      <c r="N8" s="82" t="s">
        <v>41</v>
      </c>
      <c r="O8" s="82" t="n">
        <v>0</v>
      </c>
      <c r="P8" s="82" t="n">
        <v>2</v>
      </c>
      <c r="Q8" s="82" t="s">
        <v>41</v>
      </c>
      <c r="R8" s="82" t="n">
        <v>1</v>
      </c>
      <c r="S8" s="82" t="n">
        <v>4</v>
      </c>
      <c r="T8" s="82" t="s">
        <v>41</v>
      </c>
      <c r="U8" s="82" t="n">
        <v>2</v>
      </c>
      <c r="V8" s="82" t="n">
        <v>1</v>
      </c>
      <c r="W8" s="82" t="s">
        <v>37</v>
      </c>
      <c r="X8" s="82" t="n">
        <v>1</v>
      </c>
      <c r="Y8" s="82" t="n">
        <v>2</v>
      </c>
      <c r="Z8" s="82" t="s">
        <v>38</v>
      </c>
      <c r="AA8" s="82" t="n">
        <v>0</v>
      </c>
      <c r="AB8" s="82" t="n">
        <v>2</v>
      </c>
      <c r="AC8" s="82" t="s">
        <v>41</v>
      </c>
      <c r="AD8" s="82" t="n">
        <v>1</v>
      </c>
      <c r="AE8" s="82" t="n">
        <v>3</v>
      </c>
      <c r="AF8" s="82" t="s">
        <v>41</v>
      </c>
      <c r="AG8" s="82" t="n">
        <v>1</v>
      </c>
      <c r="AH8" s="82" t="n">
        <v>2</v>
      </c>
      <c r="AI8" s="82" t="s">
        <v>41</v>
      </c>
      <c r="AJ8" s="82"/>
      <c r="AK8" s="82"/>
      <c r="AL8" s="82"/>
      <c r="AM8" s="82" t="n">
        <v>2</v>
      </c>
      <c r="AN8" s="82" t="n">
        <v>1</v>
      </c>
      <c r="AO8" s="82" t="s">
        <v>37</v>
      </c>
      <c r="AP8" s="82" t="n">
        <v>1</v>
      </c>
      <c r="AQ8" s="82" t="n">
        <v>2</v>
      </c>
      <c r="AR8" s="82" t="s">
        <v>41</v>
      </c>
      <c r="AS8" s="82" t="n">
        <v>0</v>
      </c>
      <c r="AT8" s="82" t="n">
        <v>3</v>
      </c>
      <c r="AU8" s="82" t="s">
        <v>41</v>
      </c>
      <c r="AV8" s="82" t="n">
        <v>1</v>
      </c>
      <c r="AW8" s="82" t="n">
        <v>2</v>
      </c>
      <c r="AX8" s="82" t="s">
        <v>41</v>
      </c>
      <c r="AY8" s="82" t="n">
        <v>1</v>
      </c>
      <c r="AZ8" s="82" t="n">
        <v>3</v>
      </c>
      <c r="BA8" s="82" t="s">
        <v>41</v>
      </c>
      <c r="BB8" s="82" t="n">
        <v>1</v>
      </c>
      <c r="BC8" s="82" t="n">
        <v>1</v>
      </c>
      <c r="BD8" s="82" t="s">
        <v>38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111</v>
      </c>
      <c r="C9" s="84" t="s">
        <v>35</v>
      </c>
      <c r="D9" s="85" t="s">
        <v>112</v>
      </c>
      <c r="E9" s="84"/>
      <c r="F9" s="86" t="n">
        <v>0</v>
      </c>
      <c r="G9" s="86" t="n">
        <v>1</v>
      </c>
      <c r="H9" s="86"/>
      <c r="I9" s="86"/>
      <c r="J9" s="86"/>
      <c r="K9" s="86"/>
      <c r="L9" s="86" t="n">
        <v>0</v>
      </c>
      <c r="M9" s="86" t="n">
        <v>3</v>
      </c>
      <c r="N9" s="86" t="s">
        <v>41</v>
      </c>
      <c r="O9" s="86" t="n">
        <v>0</v>
      </c>
      <c r="P9" s="86" t="n">
        <v>2</v>
      </c>
      <c r="Q9" s="86" t="s">
        <v>41</v>
      </c>
      <c r="R9" s="86" t="n">
        <v>2</v>
      </c>
      <c r="S9" s="86" t="n">
        <v>1</v>
      </c>
      <c r="T9" s="86" t="s">
        <v>37</v>
      </c>
      <c r="U9" s="86" t="n">
        <v>0</v>
      </c>
      <c r="V9" s="86" t="n">
        <v>3</v>
      </c>
      <c r="W9" s="86" t="s">
        <v>41</v>
      </c>
      <c r="X9" s="86" t="n">
        <v>0</v>
      </c>
      <c r="Y9" s="86" t="n">
        <v>3</v>
      </c>
      <c r="Z9" s="86" t="s">
        <v>41</v>
      </c>
      <c r="AA9" s="86" t="n">
        <v>0</v>
      </c>
      <c r="AB9" s="86" t="n">
        <v>2</v>
      </c>
      <c r="AC9" s="86" t="s">
        <v>41</v>
      </c>
      <c r="AD9" s="86" t="n">
        <v>0</v>
      </c>
      <c r="AE9" s="86" t="n">
        <v>1</v>
      </c>
      <c r="AF9" s="86" t="s">
        <v>38</v>
      </c>
      <c r="AG9" s="86" t="n">
        <v>1</v>
      </c>
      <c r="AH9" s="86" t="n">
        <v>2</v>
      </c>
      <c r="AI9" s="86" t="s">
        <v>41</v>
      </c>
      <c r="AJ9" s="86"/>
      <c r="AK9" s="86"/>
      <c r="AL9" s="86"/>
      <c r="AM9" s="86" t="n">
        <v>0</v>
      </c>
      <c r="AN9" s="86" t="n">
        <v>2</v>
      </c>
      <c r="AO9" s="86" t="s">
        <v>41</v>
      </c>
      <c r="AP9" s="86" t="n">
        <v>0</v>
      </c>
      <c r="AQ9" s="86" t="n">
        <v>3</v>
      </c>
      <c r="AR9" s="86" t="s">
        <v>41</v>
      </c>
      <c r="AS9" s="86" t="n">
        <v>0</v>
      </c>
      <c r="AT9" s="86" t="n">
        <v>2</v>
      </c>
      <c r="AU9" s="86" t="s">
        <v>41</v>
      </c>
      <c r="AV9" s="86" t="n">
        <v>1</v>
      </c>
      <c r="AW9" s="86" t="n">
        <v>3</v>
      </c>
      <c r="AX9" s="86" t="s">
        <v>41</v>
      </c>
      <c r="AY9" s="86" t="n">
        <v>1</v>
      </c>
      <c r="AZ9" s="86" t="n">
        <v>2</v>
      </c>
      <c r="BA9" s="86" t="s">
        <v>41</v>
      </c>
      <c r="BB9" s="86" t="n">
        <v>0</v>
      </c>
      <c r="BC9" s="86" t="n">
        <v>4</v>
      </c>
      <c r="BD9" s="86" t="s">
        <v>41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113</v>
      </c>
      <c r="G12" s="90"/>
      <c r="H12" s="90"/>
      <c r="I12" s="91"/>
      <c r="J12" s="91"/>
      <c r="K12" s="91"/>
      <c r="L12" s="92" t="s">
        <v>110</v>
      </c>
      <c r="M12" s="92"/>
      <c r="N12" s="92"/>
      <c r="O12" s="93" t="s">
        <v>110</v>
      </c>
      <c r="P12" s="93"/>
      <c r="Q12" s="93"/>
      <c r="R12" s="94" t="s">
        <v>110</v>
      </c>
      <c r="S12" s="94"/>
      <c r="T12" s="94"/>
      <c r="U12" s="95" t="s">
        <v>113</v>
      </c>
      <c r="V12" s="95"/>
      <c r="W12" s="95"/>
      <c r="X12" s="96" t="s">
        <v>110</v>
      </c>
      <c r="Y12" s="96"/>
      <c r="Z12" s="96"/>
      <c r="AA12" s="97" t="s">
        <v>110</v>
      </c>
      <c r="AB12" s="97"/>
      <c r="AC12" s="97"/>
      <c r="AD12" s="98" t="s">
        <v>114</v>
      </c>
      <c r="AE12" s="98"/>
      <c r="AF12" s="98"/>
      <c r="AG12" s="99" t="s">
        <v>114</v>
      </c>
      <c r="AH12" s="99"/>
      <c r="AI12" s="99"/>
      <c r="AJ12" s="100"/>
      <c r="AK12" s="100"/>
      <c r="AL12" s="100"/>
      <c r="AM12" s="101" t="s">
        <v>113</v>
      </c>
      <c r="AN12" s="101"/>
      <c r="AO12" s="101"/>
      <c r="AP12" s="102" t="s">
        <v>110</v>
      </c>
      <c r="AQ12" s="102"/>
      <c r="AR12" s="102"/>
      <c r="AS12" s="103" t="s">
        <v>110</v>
      </c>
      <c r="AT12" s="103"/>
      <c r="AU12" s="103"/>
      <c r="AV12" s="104" t="s">
        <v>115</v>
      </c>
      <c r="AW12" s="104"/>
      <c r="AX12" s="104"/>
      <c r="AY12" s="105" t="s">
        <v>110</v>
      </c>
      <c r="AZ12" s="105"/>
      <c r="BA12" s="105"/>
      <c r="BB12" s="106" t="s">
        <v>110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110</v>
      </c>
      <c r="G13" s="90"/>
      <c r="H13" s="90"/>
      <c r="I13" s="91"/>
      <c r="J13" s="91"/>
      <c r="K13" s="91"/>
      <c r="L13" s="92" t="s">
        <v>113</v>
      </c>
      <c r="M13" s="92"/>
      <c r="N13" s="92"/>
      <c r="O13" s="93" t="s">
        <v>113</v>
      </c>
      <c r="P13" s="93"/>
      <c r="Q13" s="93"/>
      <c r="R13" s="94" t="s">
        <v>113</v>
      </c>
      <c r="S13" s="94"/>
      <c r="T13" s="94"/>
      <c r="U13" s="95" t="s">
        <v>110</v>
      </c>
      <c r="V13" s="95"/>
      <c r="W13" s="95"/>
      <c r="X13" s="96" t="s">
        <v>113</v>
      </c>
      <c r="Y13" s="96"/>
      <c r="Z13" s="96"/>
      <c r="AA13" s="97" t="s">
        <v>113</v>
      </c>
      <c r="AB13" s="97"/>
      <c r="AC13" s="97"/>
      <c r="AD13" s="98" t="s">
        <v>116</v>
      </c>
      <c r="AE13" s="98"/>
      <c r="AF13" s="98"/>
      <c r="AG13" s="99" t="s">
        <v>116</v>
      </c>
      <c r="AH13" s="99"/>
      <c r="AI13" s="99"/>
      <c r="AJ13" s="100"/>
      <c r="AK13" s="100"/>
      <c r="AL13" s="100"/>
      <c r="AM13" s="101" t="s">
        <v>110</v>
      </c>
      <c r="AN13" s="101"/>
      <c r="AO13" s="101"/>
      <c r="AP13" s="102" t="s">
        <v>113</v>
      </c>
      <c r="AQ13" s="102"/>
      <c r="AR13" s="102"/>
      <c r="AS13" s="103" t="s">
        <v>112</v>
      </c>
      <c r="AT13" s="103"/>
      <c r="AU13" s="103"/>
      <c r="AV13" s="104" t="s">
        <v>117</v>
      </c>
      <c r="AW13" s="104"/>
      <c r="AX13" s="104"/>
      <c r="AY13" s="105" t="s">
        <v>113</v>
      </c>
      <c r="AZ13" s="105"/>
      <c r="BA13" s="105"/>
      <c r="BB13" s="106" t="s">
        <v>113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112</v>
      </c>
      <c r="G14" s="90"/>
      <c r="H14" s="90"/>
      <c r="I14" s="91"/>
      <c r="J14" s="91"/>
      <c r="K14" s="91"/>
      <c r="L14" s="92" t="s">
        <v>112</v>
      </c>
      <c r="M14" s="92"/>
      <c r="N14" s="92"/>
      <c r="O14" s="93" t="s">
        <v>112</v>
      </c>
      <c r="P14" s="93"/>
      <c r="Q14" s="93"/>
      <c r="R14" s="94" t="s">
        <v>111</v>
      </c>
      <c r="S14" s="94"/>
      <c r="T14" s="94"/>
      <c r="U14" s="95" t="s">
        <v>112</v>
      </c>
      <c r="V14" s="95"/>
      <c r="W14" s="95"/>
      <c r="X14" s="96" t="s">
        <v>112</v>
      </c>
      <c r="Y14" s="96"/>
      <c r="Z14" s="96"/>
      <c r="AA14" s="97" t="s">
        <v>112</v>
      </c>
      <c r="AB14" s="97"/>
      <c r="AC14" s="97"/>
      <c r="AD14" s="98" t="s">
        <v>118</v>
      </c>
      <c r="AE14" s="98"/>
      <c r="AF14" s="98"/>
      <c r="AG14" s="99" t="s">
        <v>118</v>
      </c>
      <c r="AH14" s="99"/>
      <c r="AI14" s="99"/>
      <c r="AJ14" s="100"/>
      <c r="AK14" s="100"/>
      <c r="AL14" s="100"/>
      <c r="AM14" s="101" t="s">
        <v>119</v>
      </c>
      <c r="AN14" s="101"/>
      <c r="AO14" s="101"/>
      <c r="AP14" s="102" t="s">
        <v>112</v>
      </c>
      <c r="AQ14" s="102"/>
      <c r="AR14" s="102"/>
      <c r="AS14" s="103" t="s">
        <v>113</v>
      </c>
      <c r="AT14" s="103"/>
      <c r="AU14" s="103"/>
      <c r="AV14" s="104" t="s">
        <v>120</v>
      </c>
      <c r="AW14" s="104"/>
      <c r="AX14" s="104"/>
      <c r="AY14" s="105" t="s">
        <v>112</v>
      </c>
      <c r="AZ14" s="105"/>
      <c r="BA14" s="105"/>
      <c r="BB14" s="106" t="s">
        <v>112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+0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X",1,0),0)+IF(AND(BE7&lt;&gt;"",BF7&lt;&gt;""),IF(IF(BE7&gt;BF7,"1",IF(BE7&lt;BF7,"2","X"))="1",1,0),0)+IF(AND(BE8&lt;&gt;"",BF8&lt;&gt;""),IF(IF(BE8&gt;BF8,"1",IF(BE8&lt;BF8,"2","X"))="1",1,0),0)+IF(AND(BE9&lt;&gt;"",BF9&lt;&gt;""),IF(IF(BE9&gt;BF9,"1",IF(BE9&lt;BF9,"2","X"))="2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2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2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2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2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2,BF4=0),3,0),0)+IF(AND(BE5&lt;&gt;"",BF5&lt;&gt;""),IF(AND(BE5=0,BF5=3),3,0),0)+IF(AND(BE6&lt;&gt;"",BF6&lt;&gt;""),IF(AND(BE6=1,BF6=1),3,0),0)+IF(AND(BE7&lt;&gt;"",BF7&lt;&gt;""),IF(AND(BE7=6,BF7=1),3,0),0)+IF(AND(BE8&lt;&gt;"",BF8&lt;&gt;""),IF(AND(BE8=2,BF8=0),3,0),0)+IF(AND(BE9&lt;&gt;"",BF9&lt;&gt;""),IF(AND(BE9=0,BF9=1)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6,BF4=0),3,0),0)+IF(AND(BE5&lt;&gt;"",BF5&lt;&gt;""),IF(AND(BE5=1,BF5=2),3,0),0)+IF(AND(BE6&lt;&gt;"",BF6&lt;&gt;""),IF(AND(BE6=3,BF6=1),3,0),0)+IF(AND(BE7&lt;&gt;"",BF7&lt;&gt;""),IF(AND(BE7=3,BF7=0),3,0),0)+IF(AND(BE8&lt;&gt;"",BF8&lt;&gt;""),IF(AND(BE8=0,BF8=2),3,0),0)+IF(AND(BE9&lt;&gt;"",BF9&lt;&gt;""),IF(AND(BE9=0,BF9=3),3,0),0)</f>
        <v>0</v>
      </c>
      <c r="M18" s="133"/>
      <c r="N18" s="133"/>
      <c r="O18" s="136" t="n">
        <f aca="false">IF(AND(BE4&lt;&gt;"",BF4&lt;&gt;""),IF(AND(BE4=4,BF4=0),3,0),0)+IF(AND(BE5&lt;&gt;"",BF5&lt;&gt;""),IF(AND(BE5=1,BF5=1),3,0),0)+IF(AND(BE6&lt;&gt;"",BF6&lt;&gt;""),IF(AND(BE6=2,BF6=1),3,0),0)+IF(AND(BE7&lt;&gt;"",BF7&lt;&gt;""),IF(AND(BE7=2,BF7=0),3,0),0)+IF(AND(BE8&lt;&gt;"",BF8&lt;&gt;""),IF(AND(BE8=0,BF8=2),3,0),0)+IF(AND(BE9&lt;&gt;"",BF9&lt;&gt;""),IF(AND(BE9=0,BF9=2),3,0),0)</f>
        <v>0</v>
      </c>
      <c r="P18" s="133"/>
      <c r="Q18" s="133"/>
      <c r="R18" s="137" t="n">
        <f aca="false">IF(AND(BE4&lt;&gt;"",BF4&lt;&gt;""),IF(AND(BE4=6,BF4=1),3,0),0)+IF(AND(BE5&lt;&gt;"",BF5&lt;&gt;""),IF(AND(BE5=1,BF5=3),3,0),0)+IF(AND(BE6&lt;&gt;"",BF6&lt;&gt;""),IF(AND(BE6=3,BF6=1),3,0),0)+IF(AND(BE7&lt;&gt;"",BF7&lt;&gt;""),IF(AND(BE7=2,BF7=0),3,0),0)+IF(AND(BE8&lt;&gt;"",BF8&lt;&gt;""),IF(AND(BE8=1,BF8=4),3,0),0)+IF(AND(BE9&lt;&gt;"",BF9&lt;&gt;""),IF(AND(BE9=2,BF9=1),3,0),0)</f>
        <v>0</v>
      </c>
      <c r="S18" s="133"/>
      <c r="T18" s="133"/>
      <c r="U18" s="138" t="n">
        <f aca="false">IF(AND(BE4&lt;&gt;"",BF4&lt;&gt;""),IF(AND(BE4=6,BF4=0),3,0),0)+IF(AND(BE5&lt;&gt;"",BF5&lt;&gt;""),IF(AND(BE5=1,BF5=2),3,0),0)+IF(AND(BE6&lt;&gt;"",BF6&lt;&gt;""),IF(AND(BE6=2,BF6=2),3,0),0)+IF(AND(BE7&lt;&gt;"",BF7&lt;&gt;""),IF(AND(BE7=3,BF7=0),3,0),0)+IF(AND(BE8&lt;&gt;"",BF8&lt;&gt;""),IF(AND(BE8=2,BF8=1),3,0),0)+IF(AND(BE9&lt;&gt;"",BF9&lt;&gt;""),IF(AND(BE9=0,BF9=3),3,0),0)</f>
        <v>0</v>
      </c>
      <c r="V18" s="133"/>
      <c r="W18" s="133"/>
      <c r="X18" s="139" t="n">
        <f aca="false">IF(AND(BE4&lt;&gt;"",BF4&lt;&gt;""),IF(AND(BE4=6,BF4=0),3,0),0)+IF(AND(BE5&lt;&gt;"",BF5&lt;&gt;""),IF(AND(BE5=1,BF5=1),3,0),0)+IF(AND(BE6&lt;&gt;"",BF6&lt;&gt;""),IF(AND(BE6=2,BF6=1),3,0),0)+IF(AND(BE7&lt;&gt;"",BF7&lt;&gt;""),IF(AND(BE7=3,BF7=0),3,0),0)+IF(AND(BE8&lt;&gt;"",BF8&lt;&gt;""),IF(AND(BE8=1,BF8=2),3,0),0)+IF(AND(BE9&lt;&gt;"",BF9&lt;&gt;""),IF(AND(BE9=0,BF9=3),3,0),0)</f>
        <v>0</v>
      </c>
      <c r="Y18" s="133"/>
      <c r="Z18" s="133"/>
      <c r="AA18" s="140" t="n">
        <f aca="false">IF(AND(BE4&lt;&gt;"",BF4&lt;&gt;""),IF(AND(BE4=4,BF4=0),3,0),0)+IF(AND(BE5&lt;&gt;"",BF5&lt;&gt;""),IF(AND(BE5=1,BF5=1),3,0),0)+IF(AND(BE6&lt;&gt;"",BF6&lt;&gt;""),IF(AND(BE6=2,BF6=1),3,0),0)+IF(AND(BE7&lt;&gt;"",BF7&lt;&gt;""),IF(AND(BE7=3,BF7=0),3,0),0)+IF(AND(BE8&lt;&gt;"",BF8&lt;&gt;""),IF(AND(BE8=0,BF8=2),3,0),0)+IF(AND(BE9&lt;&gt;"",BF9&lt;&gt;""),IF(AND(BE9=0,BF9=2),3,0),0)</f>
        <v>0</v>
      </c>
      <c r="AB18" s="133"/>
      <c r="AC18" s="133"/>
      <c r="AD18" s="141" t="n">
        <f aca="false">IF(AND(BE4&lt;&gt;"",BF4&lt;&gt;""),IF(AND(BE4=2,BF4=0),3,0),0)+IF(AND(BE5&lt;&gt;"",BF5&lt;&gt;""),IF(AND(BE5=1,BF5=1),3,0),0)+IF(AND(BE6&lt;&gt;"",BF6&lt;&gt;""),IF(AND(BE6=1,BF6=0),3,0),0)+IF(AND(BE7&lt;&gt;"",BF7&lt;&gt;""),IF(AND(BE7=2,BF7=0),3,0),0)+IF(AND(BE8&lt;&gt;"",BF8&lt;&gt;""),IF(AND(BE8=1,BF8=3),3,0),0)+IF(AND(BE9&lt;&gt;"",BF9&lt;&gt;""),IF(AND(BE9=0,BF9=1),3,0),0)</f>
        <v>0</v>
      </c>
      <c r="AE18" s="133"/>
      <c r="AF18" s="133"/>
      <c r="AG18" s="142" t="n">
        <f aca="false">IF(AND(BE4&lt;&gt;"",BF4&lt;&gt;""),IF(AND(BE4=4,BF4=0),3,0),0)+IF(AND(BE5&lt;&gt;"",BF5&lt;&gt;""),IF(AND(BE5=1,BF5=2),3,0),0)+IF(AND(BE6&lt;&gt;"",BF6&lt;&gt;""),IF(AND(BE6=2,BF6=1),3,0),0)+IF(AND(BE7&lt;&gt;"",BF7&lt;&gt;""),IF(AND(BE7=3,BF7=1),3,0),0)+IF(AND(BE8&lt;&gt;"",BF8&lt;&gt;""),IF(AND(BE8=1,BF8=2),3,0),0)+IF(AND(BE9&lt;&gt;"",BF9&lt;&gt;""),IF(AND(BE9=1,BF9=2)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3,BF4=0),3,0),0)+IF(AND(BE5&lt;&gt;"",BF5&lt;&gt;""),IF(AND(BE5=1,BF5=1),3,0),0)+IF(AND(BE6&lt;&gt;"",BF6&lt;&gt;""),IF(AND(BE6=2,BF6=1),3,0),0)+IF(AND(BE7&lt;&gt;"",BF7&lt;&gt;""),IF(AND(BE7=2,BF7=0),3,0),0)+IF(AND(BE8&lt;&gt;"",BF8&lt;&gt;""),IF(AND(BE8=2,BF8=1),3,0),0)+IF(AND(BE9&lt;&gt;"",BF9&lt;&gt;""),IF(AND(BE9=0,BF9=2),3,0),0)</f>
        <v>0</v>
      </c>
      <c r="AN18" s="133"/>
      <c r="AO18" s="133"/>
      <c r="AP18" s="145" t="n">
        <f aca="false">IF(AND(BE4&lt;&gt;"",BF4&lt;&gt;""),IF(AND(BE4=4,BF4=0),3,0),0)+IF(AND(BE5&lt;&gt;"",BF5&lt;&gt;""),IF(AND(BE5=2,BF5=1),3,0),0)+IF(AND(BE6&lt;&gt;"",BF6&lt;&gt;""),IF(AND(BE6=1,BF6=0),3,0),0)+IF(AND(BE7&lt;&gt;"",BF7&lt;&gt;""),IF(AND(BE7=3,BF7=0),3,0),0)+IF(AND(BE8&lt;&gt;"",BF8&lt;&gt;""),IF(AND(BE8=1,BF8=2),3,0),0)+IF(AND(BE9&lt;&gt;"",BF9&lt;&gt;""),IF(AND(BE9=0,BF9=3),3,0),0)</f>
        <v>0</v>
      </c>
      <c r="AQ18" s="133"/>
      <c r="AR18" s="133"/>
      <c r="AS18" s="146" t="n">
        <f aca="false">IF(AND(BE4&lt;&gt;"",BF4&lt;&gt;""),IF(AND(BE4=3,BF4=0),3,0),0)+IF(AND(BE5&lt;&gt;"",BF5&lt;&gt;""),IF(AND(BE5=2,BF5=0),3,0),0)+IF(AND(BE6&lt;&gt;"",BF6&lt;&gt;""),IF(AND(BE6=2,BF6=0),3,0),0)+IF(AND(BE7&lt;&gt;"",BF7&lt;&gt;""),IF(AND(BE7=2,BF7=1),3,0),0)+IF(AND(BE8&lt;&gt;"",BF8&lt;&gt;""),IF(AND(BE8=0,BF8=3),3,0),0)+IF(AND(BE9&lt;&gt;"",BF9&lt;&gt;""),IF(AND(BE9=0,BF9=2),3,0),0)</f>
        <v>0</v>
      </c>
      <c r="AT18" s="133"/>
      <c r="AU18" s="133"/>
      <c r="AV18" s="147" t="n">
        <f aca="false">IF(AND(BE4&lt;&gt;"",BF4&lt;&gt;""),IF(AND(BE4=3,BF4=0),3,0),0)+IF(AND(BE5&lt;&gt;"",BF5&lt;&gt;""),IF(AND(BE5=1,BF5=2),3,0),0)+IF(AND(BE6&lt;&gt;"",BF6&lt;&gt;""),IF(AND(BE6=2,BF6=0),3,0),0)+IF(AND(BE7&lt;&gt;"",BF7&lt;&gt;""),IF(AND(BE7=2,BF7=0),3,0),0)+IF(AND(BE8&lt;&gt;"",BF8&lt;&gt;""),IF(AND(BE8=1,BF8=2),3,0),0)+IF(AND(BE9&lt;&gt;"",BF9&lt;&gt;""),IF(AND(BE9=1,BF9=3),3,0),0)</f>
        <v>0</v>
      </c>
      <c r="AW18" s="133"/>
      <c r="AX18" s="133"/>
      <c r="AY18" s="148" t="n">
        <f aca="false">IF(AND(BE4&lt;&gt;"",BF4&lt;&gt;""),IF(AND(BE4=4,BF4=0),3,0),0)+IF(AND(BE5&lt;&gt;"",BF5&lt;&gt;""),IF(AND(BE5=1,BF5=2),3,0),0)+IF(AND(BE6&lt;&gt;"",BF6&lt;&gt;""),IF(AND(BE6=3,BF6=1),3,0),0)+IF(AND(BE7&lt;&gt;"",BF7&lt;&gt;""),IF(AND(BE7=2,BF7=0),3,0),0)+IF(AND(BE8&lt;&gt;"",BF8&lt;&gt;""),IF(AND(BE8=1,BF8=3),3,0),0)+IF(AND(BE9&lt;&gt;"",BF9&lt;&gt;""),IF(AND(BE9=1,BF9=2),3,0),0)</f>
        <v>0</v>
      </c>
      <c r="AZ18" s="133"/>
      <c r="BA18" s="133"/>
      <c r="BB18" s="149" t="n">
        <f aca="false">IF(AND(BE4&lt;&gt;"",BF4&lt;&gt;""),IF(AND(BE4=6,BF4=0),3,0),0)+IF(AND(BE5&lt;&gt;"",BF5&lt;&gt;""),IF(AND(BE5=0,BF5=1),3,0),0)+IF(AND(BE6&lt;&gt;"",BF6&lt;&gt;""),IF(AND(BE6=2,BF6=1),3,0),0)+IF(AND(BE7&lt;&gt;"",BF7&lt;&gt;""),IF(AND(BE7=4,BF7=0),3,0),0)+IF(AND(BE8&lt;&gt;"",BF8&lt;&gt;""),IF(AND(BE8=1,BF8=1),3,0),0)+IF(AND(BE9&lt;&gt;"",BF9&lt;&gt;""),IF(AND(BE9=0,BF9=4)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IF(C12&lt;&gt;"",IF(C12="Ecuador",4,0),0)+IF(C13&lt;&gt;"",IF(C13="Alemania",2,0),0)+IF(C14&lt;&gt;"",IF(C14="Costa de Marfil",1,0),0)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IF(C12&lt;&gt;"",IF(C12="Alemania",4,0),0)+IF(C13&lt;&gt;"",IF(C13="Ecuador",2,0),0)+IF(C14&lt;&gt;"",IF(C14="Costa de Marfil",1,0),0)</f>
        <v>0</v>
      </c>
      <c r="M19" s="152"/>
      <c r="N19" s="152"/>
      <c r="O19" s="155" t="n">
        <f aca="false">IF(C12&lt;&gt;"",IF(C12="Alemania",4,0),0)+IF(C13&lt;&gt;"",IF(C13="Ecuador",2,0),0)+IF(C14&lt;&gt;"",IF(C14="Costa de Marfil",1,0),0)</f>
        <v>0</v>
      </c>
      <c r="P19" s="152"/>
      <c r="Q19" s="152"/>
      <c r="R19" s="156" t="n">
        <f aca="false">IF(C12&lt;&gt;"",IF(C12="Alemania",4,0),0)+IF(C13&lt;&gt;"",IF(C13="Ecuador",2,0),0)+IF(C14&lt;&gt;"",IF(C14="Curaçao",1,0),0)</f>
        <v>0</v>
      </c>
      <c r="S19" s="152"/>
      <c r="T19" s="152"/>
      <c r="U19" s="157" t="n">
        <f aca="false">IF(C12&lt;&gt;"",IF(C12="Ecuador",4,0),0)+IF(C13&lt;&gt;"",IF(C13="Alemania",2,0),0)+IF(C14&lt;&gt;"",IF(C14="Costa de Marfil",1,0),0)</f>
        <v>0</v>
      </c>
      <c r="V19" s="152"/>
      <c r="W19" s="152"/>
      <c r="X19" s="158" t="n">
        <f aca="false">IF(C12&lt;&gt;"",IF(C12="Alemania",4,0),0)+IF(C13&lt;&gt;"",IF(C13="Ecuador",2,0),0)+IF(C14&lt;&gt;"",IF(C14="Costa de Marfil",1,0),0)</f>
        <v>0</v>
      </c>
      <c r="Y19" s="152"/>
      <c r="Z19" s="152"/>
      <c r="AA19" s="159" t="n">
        <f aca="false">IF(C12&lt;&gt;"",IF(C12="Alemania",4,0),0)+IF(C13&lt;&gt;"",IF(C13="Ecuador",2,0),0)+IF(C14&lt;&gt;"",IF(C14="Costa de Marfil",1,0),0)</f>
        <v>0</v>
      </c>
      <c r="AB19" s="152"/>
      <c r="AC19" s="152"/>
      <c r="AD19" s="160" t="n">
        <f aca="false">IF(C12&lt;&gt;"",IF(C12="ALEMANIA",4,0),0)+IF(C13&lt;&gt;"",IF(C13="ECUADOR",2,0),0)+IF(C14&lt;&gt;"",IF(C14="COSTA DE MARFIL",1,0),0)</f>
        <v>0</v>
      </c>
      <c r="AE19" s="152"/>
      <c r="AF19" s="152"/>
      <c r="AG19" s="161" t="n">
        <f aca="false">IF(C12&lt;&gt;"",IF(C12="ALEMANIA",4,0),0)+IF(C13&lt;&gt;"",IF(C13="ECUADOR",2,0),0)+IF(C14&lt;&gt;"",IF(C14="COSTA DE MARFIL",1,0),0)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IF(C12&lt;&gt;"",IF(C12="Ecuador",4,0),0)+IF(C13&lt;&gt;"",IF(C13="Alemania",2,0),0)+IF(C14&lt;&gt;"",IF(C14="Costa Marfil",1,0),0)</f>
        <v>0</v>
      </c>
      <c r="AN19" s="152"/>
      <c r="AO19" s="152"/>
      <c r="AP19" s="164" t="n">
        <f aca="false">IF(C12&lt;&gt;"",IF(C12="Alemania",4,0),0)+IF(C13&lt;&gt;"",IF(C13="Ecuador",2,0),0)+IF(C14&lt;&gt;"",IF(C14="Costa de Marfil",1,0),0)</f>
        <v>0</v>
      </c>
      <c r="AQ19" s="152"/>
      <c r="AR19" s="152"/>
      <c r="AS19" s="165" t="n">
        <f aca="false">IF(C12&lt;&gt;"",IF(C12="Alemania",4,0),0)+IF(C13&lt;&gt;"",IF(C13="Costa de Marfil",2,0),0)+IF(C14&lt;&gt;"",IF(C14="Ecuador",1,0),0)</f>
        <v>0</v>
      </c>
      <c r="AT19" s="152"/>
      <c r="AU19" s="152"/>
      <c r="AV19" s="166" t="n">
        <f aca="false">IF(C12&lt;&gt;"",IF(C12="alemania",4,0),0)+IF(C13&lt;&gt;"",IF(C13="ecuador",2,0),0)+IF(C14&lt;&gt;"",IF(C14="costa de marfil",1,0),0)</f>
        <v>0</v>
      </c>
      <c r="AW19" s="152"/>
      <c r="AX19" s="152"/>
      <c r="AY19" s="167" t="n">
        <f aca="false">IF(C12&lt;&gt;"",IF(C12="Alemania",4,0),0)+IF(C13&lt;&gt;"",IF(C13="Ecuador",2,0),0)+IF(C14&lt;&gt;"",IF(C14="Costa de Marfil",1,0),0)</f>
        <v>0</v>
      </c>
      <c r="AZ19" s="152"/>
      <c r="BA19" s="152"/>
      <c r="BB19" s="168" t="n">
        <f aca="false">IF(C12&lt;&gt;"",IF(C12="Alemania",4,0),0)+IF(C13&lt;&gt;"",IF(C13="Ecuador",2,0),0)+IF(C14&lt;&gt;"",IF(C14="Costa de Marfil",1,0),0)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122</v>
      </c>
      <c r="C4" s="80" t="s">
        <v>35</v>
      </c>
      <c r="D4" s="81" t="s">
        <v>123</v>
      </c>
      <c r="E4" s="80"/>
      <c r="F4" s="82" t="n">
        <v>0</v>
      </c>
      <c r="G4" s="82" t="n">
        <v>1</v>
      </c>
      <c r="H4" s="82" t="s">
        <v>41</v>
      </c>
      <c r="I4" s="82"/>
      <c r="J4" s="82"/>
      <c r="K4" s="82"/>
      <c r="L4" s="82" t="n">
        <v>2</v>
      </c>
      <c r="M4" s="82" t="n">
        <v>0</v>
      </c>
      <c r="N4" s="82" t="s">
        <v>37</v>
      </c>
      <c r="O4" s="82" t="n">
        <v>2</v>
      </c>
      <c r="P4" s="82" t="n">
        <v>1</v>
      </c>
      <c r="Q4" s="82" t="s">
        <v>37</v>
      </c>
      <c r="R4" s="82" t="n">
        <v>3</v>
      </c>
      <c r="S4" s="82" t="n">
        <v>2</v>
      </c>
      <c r="T4" s="82" t="s">
        <v>37</v>
      </c>
      <c r="U4" s="82" t="n">
        <v>3</v>
      </c>
      <c r="V4" s="82" t="n">
        <v>2</v>
      </c>
      <c r="W4" s="82" t="s">
        <v>38</v>
      </c>
      <c r="X4" s="82" t="n">
        <v>1</v>
      </c>
      <c r="Y4" s="82" t="n">
        <v>1</v>
      </c>
      <c r="Z4" s="82" t="s">
        <v>37</v>
      </c>
      <c r="AA4" s="82" t="n">
        <v>2</v>
      </c>
      <c r="AB4" s="82" t="n">
        <v>1</v>
      </c>
      <c r="AC4" s="82" t="s">
        <v>37</v>
      </c>
      <c r="AD4" s="82" t="n">
        <v>1</v>
      </c>
      <c r="AE4" s="82" t="n">
        <v>0</v>
      </c>
      <c r="AF4" s="82" t="s">
        <v>38</v>
      </c>
      <c r="AG4" s="82" t="n">
        <v>2</v>
      </c>
      <c r="AH4" s="82" t="n">
        <v>1</v>
      </c>
      <c r="AI4" s="82" t="s">
        <v>38</v>
      </c>
      <c r="AJ4" s="82"/>
      <c r="AK4" s="82"/>
      <c r="AL4" s="82"/>
      <c r="AM4" s="82" t="n">
        <v>1</v>
      </c>
      <c r="AN4" s="82" t="n">
        <v>2</v>
      </c>
      <c r="AO4" s="82" t="s">
        <v>41</v>
      </c>
      <c r="AP4" s="82" t="n">
        <v>1</v>
      </c>
      <c r="AQ4" s="82" t="n">
        <v>2</v>
      </c>
      <c r="AR4" s="82" t="s">
        <v>38</v>
      </c>
      <c r="AS4" s="82" t="n">
        <v>2</v>
      </c>
      <c r="AT4" s="82" t="n">
        <v>0</v>
      </c>
      <c r="AU4" s="82" t="s">
        <v>37</v>
      </c>
      <c r="AV4" s="82" t="n">
        <v>2</v>
      </c>
      <c r="AW4" s="82" t="n">
        <v>1</v>
      </c>
      <c r="AX4" s="82" t="s">
        <v>37</v>
      </c>
      <c r="AY4" s="82" t="n">
        <v>2</v>
      </c>
      <c r="AZ4" s="82" t="n">
        <v>1</v>
      </c>
      <c r="BA4" s="82" t="s">
        <v>38</v>
      </c>
      <c r="BB4" s="82" t="n">
        <v>3</v>
      </c>
      <c r="BC4" s="82" t="n">
        <v>2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124</v>
      </c>
      <c r="C5" s="84" t="s">
        <v>35</v>
      </c>
      <c r="D5" s="85" t="s">
        <v>125</v>
      </c>
      <c r="E5" s="84"/>
      <c r="F5" s="86" t="n">
        <v>0</v>
      </c>
      <c r="G5" s="86" t="n">
        <v>2</v>
      </c>
      <c r="H5" s="86" t="s">
        <v>41</v>
      </c>
      <c r="I5" s="86"/>
      <c r="J5" s="86"/>
      <c r="K5" s="86"/>
      <c r="L5" s="86" t="n">
        <v>1</v>
      </c>
      <c r="M5" s="86" t="n">
        <v>3</v>
      </c>
      <c r="N5" s="86" t="s">
        <v>41</v>
      </c>
      <c r="O5" s="86" t="n">
        <v>1</v>
      </c>
      <c r="P5" s="86" t="n">
        <v>1</v>
      </c>
      <c r="Q5" s="86" t="s">
        <v>38</v>
      </c>
      <c r="R5" s="86" t="n">
        <v>1</v>
      </c>
      <c r="S5" s="86" t="n">
        <v>2</v>
      </c>
      <c r="T5" s="86" t="s">
        <v>41</v>
      </c>
      <c r="U5" s="86" t="n">
        <v>1</v>
      </c>
      <c r="V5" s="86" t="n">
        <v>2</v>
      </c>
      <c r="W5" s="86" t="s">
        <v>41</v>
      </c>
      <c r="X5" s="86" t="n">
        <v>0</v>
      </c>
      <c r="Y5" s="86" t="n">
        <v>0</v>
      </c>
      <c r="Z5" s="86" t="s">
        <v>38</v>
      </c>
      <c r="AA5" s="86" t="n">
        <v>0</v>
      </c>
      <c r="AB5" s="86" t="n">
        <v>2</v>
      </c>
      <c r="AC5" s="86" t="s">
        <v>41</v>
      </c>
      <c r="AD5" s="86" t="n">
        <v>1</v>
      </c>
      <c r="AE5" s="86" t="n">
        <v>1</v>
      </c>
      <c r="AF5" s="86" t="s">
        <v>37</v>
      </c>
      <c r="AG5" s="86" t="n">
        <v>0</v>
      </c>
      <c r="AH5" s="86" t="n">
        <v>2</v>
      </c>
      <c r="AI5" s="86" t="s">
        <v>41</v>
      </c>
      <c r="AJ5" s="86"/>
      <c r="AK5" s="86"/>
      <c r="AL5" s="86"/>
      <c r="AM5" s="86" t="n">
        <v>1</v>
      </c>
      <c r="AN5" s="86" t="n">
        <v>1</v>
      </c>
      <c r="AO5" s="86" t="s">
        <v>38</v>
      </c>
      <c r="AP5" s="86" t="n">
        <v>0</v>
      </c>
      <c r="AQ5" s="86" t="n">
        <v>2</v>
      </c>
      <c r="AR5" s="86" t="s">
        <v>41</v>
      </c>
      <c r="AS5" s="86" t="n">
        <v>0</v>
      </c>
      <c r="AT5" s="86" t="n">
        <v>2</v>
      </c>
      <c r="AU5" s="86" t="s">
        <v>41</v>
      </c>
      <c r="AV5" s="86" t="n">
        <v>1</v>
      </c>
      <c r="AW5" s="86" t="n">
        <v>1</v>
      </c>
      <c r="AX5" s="86" t="s">
        <v>38</v>
      </c>
      <c r="AY5" s="86" t="n">
        <v>1</v>
      </c>
      <c r="AZ5" s="86" t="n">
        <v>1</v>
      </c>
      <c r="BA5" s="86" t="s">
        <v>41</v>
      </c>
      <c r="BB5" s="86" t="n">
        <v>0</v>
      </c>
      <c r="BC5" s="86" t="n">
        <v>1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122</v>
      </c>
      <c r="C6" s="80" t="s">
        <v>35</v>
      </c>
      <c r="D6" s="81" t="s">
        <v>125</v>
      </c>
      <c r="E6" s="80"/>
      <c r="F6" s="82" t="n">
        <v>2</v>
      </c>
      <c r="G6" s="82" t="n">
        <v>1</v>
      </c>
      <c r="H6" s="82" t="s">
        <v>37</v>
      </c>
      <c r="I6" s="82"/>
      <c r="J6" s="82"/>
      <c r="K6" s="82"/>
      <c r="L6" s="82" t="n">
        <v>4</v>
      </c>
      <c r="M6" s="82" t="n">
        <v>0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4</v>
      </c>
      <c r="S6" s="82" t="n">
        <v>2</v>
      </c>
      <c r="T6" s="82" t="s">
        <v>37</v>
      </c>
      <c r="U6" s="82" t="n">
        <v>3</v>
      </c>
      <c r="V6" s="82" t="n">
        <v>1</v>
      </c>
      <c r="W6" s="82" t="s">
        <v>37</v>
      </c>
      <c r="X6" s="82" t="n">
        <v>2</v>
      </c>
      <c r="Y6" s="82" t="n">
        <v>0</v>
      </c>
      <c r="Z6" s="82" t="s">
        <v>37</v>
      </c>
      <c r="AA6" s="82" t="n">
        <v>2</v>
      </c>
      <c r="AB6" s="82" t="n">
        <v>0</v>
      </c>
      <c r="AC6" s="82" t="s">
        <v>37</v>
      </c>
      <c r="AD6" s="82" t="n">
        <v>2</v>
      </c>
      <c r="AE6" s="82" t="n">
        <v>1</v>
      </c>
      <c r="AF6" s="82" t="s">
        <v>38</v>
      </c>
      <c r="AG6" s="82" t="n">
        <v>2</v>
      </c>
      <c r="AH6" s="82" t="n">
        <v>2</v>
      </c>
      <c r="AI6" s="82" t="s">
        <v>37</v>
      </c>
      <c r="AJ6" s="82"/>
      <c r="AK6" s="82"/>
      <c r="AL6" s="82"/>
      <c r="AM6" s="82" t="n">
        <v>2</v>
      </c>
      <c r="AN6" s="82" t="n">
        <v>2</v>
      </c>
      <c r="AO6" s="82" t="s">
        <v>38</v>
      </c>
      <c r="AP6" s="82" t="n">
        <v>2</v>
      </c>
      <c r="AQ6" s="82" t="n">
        <v>1</v>
      </c>
      <c r="AR6" s="82" t="s">
        <v>37</v>
      </c>
      <c r="AS6" s="82" t="n">
        <v>2</v>
      </c>
      <c r="AT6" s="82" t="n">
        <v>1</v>
      </c>
      <c r="AU6" s="82" t="s">
        <v>37</v>
      </c>
      <c r="AV6" s="82" t="n">
        <v>1</v>
      </c>
      <c r="AW6" s="82" t="n">
        <v>0</v>
      </c>
      <c r="AX6" s="82" t="s">
        <v>37</v>
      </c>
      <c r="AY6" s="82" t="n">
        <v>2</v>
      </c>
      <c r="AZ6" s="82" t="n">
        <v>0</v>
      </c>
      <c r="BA6" s="82" t="s">
        <v>37</v>
      </c>
      <c r="BB6" s="82" t="n">
        <v>2</v>
      </c>
      <c r="BC6" s="82" t="n">
        <v>1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123</v>
      </c>
      <c r="C7" s="84" t="s">
        <v>35</v>
      </c>
      <c r="D7" s="85" t="s">
        <v>124</v>
      </c>
      <c r="E7" s="84"/>
      <c r="F7" s="86" t="n">
        <v>4</v>
      </c>
      <c r="G7" s="86" t="n">
        <v>2</v>
      </c>
      <c r="H7" s="86" t="s">
        <v>37</v>
      </c>
      <c r="I7" s="86"/>
      <c r="J7" s="86"/>
      <c r="K7" s="86"/>
      <c r="L7" s="86" t="n">
        <v>2</v>
      </c>
      <c r="M7" s="86" t="n">
        <v>1</v>
      </c>
      <c r="N7" s="86" t="s">
        <v>37</v>
      </c>
      <c r="O7" s="86" t="n">
        <v>2</v>
      </c>
      <c r="P7" s="86" t="n">
        <v>0</v>
      </c>
      <c r="Q7" s="86" t="s">
        <v>37</v>
      </c>
      <c r="R7" s="86" t="n">
        <v>3</v>
      </c>
      <c r="S7" s="86" t="n">
        <v>1</v>
      </c>
      <c r="T7" s="86" t="s">
        <v>37</v>
      </c>
      <c r="U7" s="86" t="n">
        <v>3</v>
      </c>
      <c r="V7" s="86" t="n">
        <v>0</v>
      </c>
      <c r="W7" s="86" t="s">
        <v>37</v>
      </c>
      <c r="X7" s="86" t="n">
        <v>1</v>
      </c>
      <c r="Y7" s="86" t="n">
        <v>0</v>
      </c>
      <c r="Z7" s="86" t="s">
        <v>38</v>
      </c>
      <c r="AA7" s="86" t="n">
        <v>2</v>
      </c>
      <c r="AB7" s="86" t="n">
        <v>0</v>
      </c>
      <c r="AC7" s="86" t="s">
        <v>37</v>
      </c>
      <c r="AD7" s="86" t="n">
        <v>1</v>
      </c>
      <c r="AE7" s="86" t="n">
        <v>0</v>
      </c>
      <c r="AF7" s="86" t="s">
        <v>41</v>
      </c>
      <c r="AG7" s="86" t="n">
        <v>2</v>
      </c>
      <c r="AH7" s="86" t="n">
        <v>1</v>
      </c>
      <c r="AI7" s="86" t="s">
        <v>37</v>
      </c>
      <c r="AJ7" s="86"/>
      <c r="AK7" s="86"/>
      <c r="AL7" s="86"/>
      <c r="AM7" s="86" t="n">
        <v>2</v>
      </c>
      <c r="AN7" s="86" t="n">
        <v>1</v>
      </c>
      <c r="AO7" s="86" t="s">
        <v>37</v>
      </c>
      <c r="AP7" s="86" t="n">
        <v>2</v>
      </c>
      <c r="AQ7" s="86" t="n">
        <v>0</v>
      </c>
      <c r="AR7" s="86" t="s">
        <v>37</v>
      </c>
      <c r="AS7" s="86" t="n">
        <v>1</v>
      </c>
      <c r="AT7" s="86" t="n">
        <v>1</v>
      </c>
      <c r="AU7" s="86" t="s">
        <v>38</v>
      </c>
      <c r="AV7" s="86" t="n">
        <v>0</v>
      </c>
      <c r="AW7" s="86" t="n">
        <v>0</v>
      </c>
      <c r="AX7" s="86" t="s">
        <v>38</v>
      </c>
      <c r="AY7" s="86" t="n">
        <v>2</v>
      </c>
      <c r="AZ7" s="86" t="n">
        <v>0</v>
      </c>
      <c r="BA7" s="86" t="s">
        <v>37</v>
      </c>
      <c r="BB7" s="86" t="n">
        <v>2</v>
      </c>
      <c r="BC7" s="86" t="n">
        <v>1</v>
      </c>
      <c r="BD7" s="86" t="s">
        <v>37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124</v>
      </c>
      <c r="C8" s="80" t="s">
        <v>35</v>
      </c>
      <c r="D8" s="81" t="s">
        <v>122</v>
      </c>
      <c r="E8" s="80"/>
      <c r="F8" s="82" t="n">
        <v>1</v>
      </c>
      <c r="G8" s="82" t="n">
        <v>1</v>
      </c>
      <c r="H8" s="82" t="s">
        <v>38</v>
      </c>
      <c r="I8" s="82"/>
      <c r="J8" s="82"/>
      <c r="K8" s="82"/>
      <c r="L8" s="82" t="n">
        <v>0</v>
      </c>
      <c r="M8" s="82" t="n">
        <v>3</v>
      </c>
      <c r="N8" s="82" t="s">
        <v>41</v>
      </c>
      <c r="O8" s="82" t="n">
        <v>0</v>
      </c>
      <c r="P8" s="82" t="n">
        <v>2</v>
      </c>
      <c r="Q8" s="82" t="s">
        <v>41</v>
      </c>
      <c r="R8" s="82" t="n">
        <v>1</v>
      </c>
      <c r="S8" s="82" t="n">
        <v>3</v>
      </c>
      <c r="T8" s="82" t="s">
        <v>41</v>
      </c>
      <c r="U8" s="82" t="n">
        <v>1</v>
      </c>
      <c r="V8" s="82" t="n">
        <v>4</v>
      </c>
      <c r="W8" s="82" t="s">
        <v>41</v>
      </c>
      <c r="X8" s="82" t="n">
        <v>1</v>
      </c>
      <c r="Y8" s="82" t="n">
        <v>2</v>
      </c>
      <c r="Z8" s="82" t="s">
        <v>41</v>
      </c>
      <c r="AA8" s="82" t="n">
        <v>0</v>
      </c>
      <c r="AB8" s="82" t="n">
        <v>2</v>
      </c>
      <c r="AC8" s="82" t="s">
        <v>41</v>
      </c>
      <c r="AD8" s="82" t="n">
        <v>1</v>
      </c>
      <c r="AE8" s="82" t="n">
        <v>2</v>
      </c>
      <c r="AF8" s="82" t="s">
        <v>38</v>
      </c>
      <c r="AG8" s="82" t="n">
        <v>1</v>
      </c>
      <c r="AH8" s="82" t="n">
        <v>3</v>
      </c>
      <c r="AI8" s="82" t="s">
        <v>41</v>
      </c>
      <c r="AJ8" s="82"/>
      <c r="AK8" s="82"/>
      <c r="AL8" s="82"/>
      <c r="AM8" s="82" t="n">
        <v>1</v>
      </c>
      <c r="AN8" s="82" t="n">
        <v>3</v>
      </c>
      <c r="AO8" s="82" t="s">
        <v>41</v>
      </c>
      <c r="AP8" s="82" t="n">
        <v>0</v>
      </c>
      <c r="AQ8" s="82" t="n">
        <v>2</v>
      </c>
      <c r="AR8" s="82" t="s">
        <v>41</v>
      </c>
      <c r="AS8" s="82" t="n">
        <v>1</v>
      </c>
      <c r="AT8" s="82" t="n">
        <v>3</v>
      </c>
      <c r="AU8" s="82" t="s">
        <v>41</v>
      </c>
      <c r="AV8" s="82" t="n">
        <v>1</v>
      </c>
      <c r="AW8" s="82" t="n">
        <v>2</v>
      </c>
      <c r="AX8" s="82" t="s">
        <v>41</v>
      </c>
      <c r="AY8" s="82" t="n">
        <v>1</v>
      </c>
      <c r="AZ8" s="82" t="n">
        <v>1</v>
      </c>
      <c r="BA8" s="82" t="s">
        <v>41</v>
      </c>
      <c r="BB8" s="82" t="n">
        <v>1</v>
      </c>
      <c r="BC8" s="82" t="n">
        <v>3</v>
      </c>
      <c r="BD8" s="82" t="s">
        <v>41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125</v>
      </c>
      <c r="C9" s="84" t="s">
        <v>35</v>
      </c>
      <c r="D9" s="85" t="s">
        <v>123</v>
      </c>
      <c r="E9" s="84"/>
      <c r="F9" s="86" t="n">
        <v>1</v>
      </c>
      <c r="G9" s="86" t="n">
        <v>3</v>
      </c>
      <c r="H9" s="86" t="s">
        <v>41</v>
      </c>
      <c r="I9" s="86"/>
      <c r="J9" s="86"/>
      <c r="K9" s="86"/>
      <c r="L9" s="86" t="n">
        <v>2</v>
      </c>
      <c r="M9" s="86" t="n">
        <v>3</v>
      </c>
      <c r="N9" s="86" t="s">
        <v>41</v>
      </c>
      <c r="O9" s="86" t="n">
        <v>1</v>
      </c>
      <c r="P9" s="86" t="n">
        <v>1</v>
      </c>
      <c r="Q9" s="86" t="s">
        <v>38</v>
      </c>
      <c r="R9" s="86" t="n">
        <v>2</v>
      </c>
      <c r="S9" s="86" t="n">
        <v>2</v>
      </c>
      <c r="T9" s="86" t="s">
        <v>38</v>
      </c>
      <c r="U9" s="86" t="n">
        <v>1</v>
      </c>
      <c r="V9" s="86" t="n">
        <v>2</v>
      </c>
      <c r="W9" s="86" t="s">
        <v>41</v>
      </c>
      <c r="X9" s="86" t="n">
        <v>1</v>
      </c>
      <c r="Y9" s="86" t="n">
        <v>2</v>
      </c>
      <c r="Z9" s="86" t="s">
        <v>41</v>
      </c>
      <c r="AA9" s="86" t="n">
        <v>1</v>
      </c>
      <c r="AB9" s="86" t="n">
        <v>2</v>
      </c>
      <c r="AC9" s="86" t="s">
        <v>41</v>
      </c>
      <c r="AD9" s="86" t="n">
        <v>0</v>
      </c>
      <c r="AE9" s="86" t="n">
        <v>1</v>
      </c>
      <c r="AF9" s="86" t="s">
        <v>37</v>
      </c>
      <c r="AG9" s="86" t="n">
        <v>2</v>
      </c>
      <c r="AH9" s="86" t="n">
        <v>1</v>
      </c>
      <c r="AI9" s="86" t="s">
        <v>38</v>
      </c>
      <c r="AJ9" s="86"/>
      <c r="AK9" s="86"/>
      <c r="AL9" s="86"/>
      <c r="AM9" s="86" t="n">
        <v>1</v>
      </c>
      <c r="AN9" s="86" t="n">
        <v>1</v>
      </c>
      <c r="AO9" s="86" t="s">
        <v>38</v>
      </c>
      <c r="AP9" s="86" t="n">
        <v>1</v>
      </c>
      <c r="AQ9" s="86" t="n">
        <v>1</v>
      </c>
      <c r="AR9" s="86" t="s">
        <v>41</v>
      </c>
      <c r="AS9" s="86" t="n">
        <v>2</v>
      </c>
      <c r="AT9" s="86" t="n">
        <v>0</v>
      </c>
      <c r="AU9" s="86" t="s">
        <v>37</v>
      </c>
      <c r="AV9" s="86" t="n">
        <v>1</v>
      </c>
      <c r="AW9" s="86" t="n">
        <v>1</v>
      </c>
      <c r="AX9" s="86" t="s">
        <v>38</v>
      </c>
      <c r="AY9" s="86" t="n">
        <v>1</v>
      </c>
      <c r="AZ9" s="86" t="n">
        <v>1</v>
      </c>
      <c r="BA9" s="86" t="s">
        <v>37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123</v>
      </c>
      <c r="G12" s="90"/>
      <c r="H12" s="90"/>
      <c r="I12" s="91"/>
      <c r="J12" s="91"/>
      <c r="K12" s="91"/>
      <c r="L12" s="92" t="s">
        <v>122</v>
      </c>
      <c r="M12" s="92"/>
      <c r="N12" s="92"/>
      <c r="O12" s="93" t="s">
        <v>122</v>
      </c>
      <c r="P12" s="93"/>
      <c r="Q12" s="93"/>
      <c r="R12" s="94" t="s">
        <v>126</v>
      </c>
      <c r="S12" s="94"/>
      <c r="T12" s="94"/>
      <c r="U12" s="95" t="s">
        <v>122</v>
      </c>
      <c r="V12" s="95"/>
      <c r="W12" s="95"/>
      <c r="X12" s="96" t="s">
        <v>122</v>
      </c>
      <c r="Y12" s="96"/>
      <c r="Z12" s="96"/>
      <c r="AA12" s="97" t="s">
        <v>122</v>
      </c>
      <c r="AB12" s="97"/>
      <c r="AC12" s="97"/>
      <c r="AD12" s="98" t="s">
        <v>127</v>
      </c>
      <c r="AE12" s="98"/>
      <c r="AF12" s="98"/>
      <c r="AG12" s="99" t="s">
        <v>128</v>
      </c>
      <c r="AH12" s="99"/>
      <c r="AI12" s="99"/>
      <c r="AJ12" s="100"/>
      <c r="AK12" s="100"/>
      <c r="AL12" s="100"/>
      <c r="AM12" s="101" t="s">
        <v>129</v>
      </c>
      <c r="AN12" s="101"/>
      <c r="AO12" s="101"/>
      <c r="AP12" s="102" t="s">
        <v>123</v>
      </c>
      <c r="AQ12" s="102"/>
      <c r="AR12" s="102"/>
      <c r="AS12" s="103" t="s">
        <v>130</v>
      </c>
      <c r="AT12" s="103"/>
      <c r="AU12" s="103"/>
      <c r="AV12" s="104" t="s">
        <v>131</v>
      </c>
      <c r="AW12" s="104"/>
      <c r="AX12" s="104"/>
      <c r="AY12" s="105" t="s">
        <v>122</v>
      </c>
      <c r="AZ12" s="105"/>
      <c r="BA12" s="105"/>
      <c r="BB12" s="106" t="s">
        <v>122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122</v>
      </c>
      <c r="G13" s="90"/>
      <c r="H13" s="90"/>
      <c r="I13" s="91"/>
      <c r="J13" s="91"/>
      <c r="K13" s="91"/>
      <c r="L13" s="92" t="s">
        <v>123</v>
      </c>
      <c r="M13" s="92"/>
      <c r="N13" s="92"/>
      <c r="O13" s="93" t="s">
        <v>123</v>
      </c>
      <c r="P13" s="93"/>
      <c r="Q13" s="93"/>
      <c r="R13" s="94" t="s">
        <v>123</v>
      </c>
      <c r="S13" s="94"/>
      <c r="T13" s="94"/>
      <c r="U13" s="95" t="s">
        <v>123</v>
      </c>
      <c r="V13" s="95"/>
      <c r="W13" s="95"/>
      <c r="X13" s="96" t="s">
        <v>123</v>
      </c>
      <c r="Y13" s="96"/>
      <c r="Z13" s="96"/>
      <c r="AA13" s="97" t="s">
        <v>123</v>
      </c>
      <c r="AB13" s="97"/>
      <c r="AC13" s="97"/>
      <c r="AD13" s="98" t="s">
        <v>132</v>
      </c>
      <c r="AE13" s="98"/>
      <c r="AF13" s="98"/>
      <c r="AG13" s="99" t="s">
        <v>133</v>
      </c>
      <c r="AH13" s="99"/>
      <c r="AI13" s="99"/>
      <c r="AJ13" s="100"/>
      <c r="AK13" s="100"/>
      <c r="AL13" s="100"/>
      <c r="AM13" s="101" t="s">
        <v>134</v>
      </c>
      <c r="AN13" s="101"/>
      <c r="AO13" s="101"/>
      <c r="AP13" s="102" t="s">
        <v>122</v>
      </c>
      <c r="AQ13" s="102"/>
      <c r="AR13" s="102"/>
      <c r="AS13" s="103" t="s">
        <v>125</v>
      </c>
      <c r="AT13" s="103"/>
      <c r="AU13" s="103"/>
      <c r="AV13" s="104" t="s">
        <v>135</v>
      </c>
      <c r="AW13" s="104"/>
      <c r="AX13" s="104"/>
      <c r="AY13" s="105" t="s">
        <v>123</v>
      </c>
      <c r="AZ13" s="105"/>
      <c r="BA13" s="105"/>
      <c r="BB13" s="106" t="s">
        <v>123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205"/>
      <c r="G14" s="205"/>
      <c r="H14" s="205"/>
      <c r="I14" s="91"/>
      <c r="J14" s="91"/>
      <c r="K14" s="91"/>
      <c r="L14" s="92" t="s">
        <v>125</v>
      </c>
      <c r="M14" s="92"/>
      <c r="N14" s="92"/>
      <c r="O14" s="93" t="s">
        <v>125</v>
      </c>
      <c r="P14" s="93"/>
      <c r="Q14" s="93"/>
      <c r="R14" s="94" t="s">
        <v>125</v>
      </c>
      <c r="S14" s="94"/>
      <c r="T14" s="94"/>
      <c r="U14" s="95" t="s">
        <v>125</v>
      </c>
      <c r="V14" s="95"/>
      <c r="W14" s="95"/>
      <c r="X14" s="96" t="s">
        <v>125</v>
      </c>
      <c r="Y14" s="96"/>
      <c r="Z14" s="96"/>
      <c r="AA14" s="97" t="s">
        <v>125</v>
      </c>
      <c r="AB14" s="97"/>
      <c r="AC14" s="97"/>
      <c r="AD14" s="98" t="s">
        <v>133</v>
      </c>
      <c r="AE14" s="98"/>
      <c r="AF14" s="98"/>
      <c r="AG14" s="99" t="s">
        <v>132</v>
      </c>
      <c r="AH14" s="99"/>
      <c r="AI14" s="99"/>
      <c r="AJ14" s="100"/>
      <c r="AK14" s="100"/>
      <c r="AL14" s="100"/>
      <c r="AM14" s="101" t="s">
        <v>125</v>
      </c>
      <c r="AN14" s="101"/>
      <c r="AO14" s="101"/>
      <c r="AP14" s="102" t="s">
        <v>125</v>
      </c>
      <c r="AQ14" s="102"/>
      <c r="AR14" s="102"/>
      <c r="AS14" s="103" t="s">
        <v>136</v>
      </c>
      <c r="AT14" s="103"/>
      <c r="AU14" s="103"/>
      <c r="AV14" s="104" t="s">
        <v>137</v>
      </c>
      <c r="AW14" s="104"/>
      <c r="AX14" s="104"/>
      <c r="AY14" s="105" t="s">
        <v>125</v>
      </c>
      <c r="AZ14" s="105"/>
      <c r="BA14" s="105"/>
      <c r="BB14" s="106" t="s">
        <v>125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2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S17" s="113"/>
      <c r="T17" s="113"/>
      <c r="U17" s="118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2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B17" s="113"/>
      <c r="AC17" s="113"/>
      <c r="AD17" s="121" t="n">
        <f aca="false">IF(AND(BE4&lt;&gt;"",BF4&lt;&gt;""),IF(IF(BE4&gt;BF4,"1",IF(BE4&lt;BF4,"2","X"))="X",1,0),0)+IF(AND(BE5&lt;&gt;"",BF5&lt;&gt;""),IF(IF(BE5&gt;BF5,"1",IF(BE5&lt;BF5,"2","X"))="1",1,0),0)+IF(AND(BE6&lt;&gt;"",BF6&lt;&gt;""),IF(IF(BE6&gt;BF6,"1",IF(BE6&lt;BF6,"2","X"))="X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AE17" s="113"/>
      <c r="AF17" s="113"/>
      <c r="AG17" s="122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2",1,0),0)+IF(AND(BE5&lt;&gt;"",BF5&lt;&gt;""),IF(IF(BE5&gt;BF5,"1",IF(BE5&lt;BF5,"2","X"))="X",1,0),0)+IF(AND(BE6&lt;&gt;"",BF6&lt;&gt;""),IF(IF(BE6&gt;BF6,"1",IF(BE6&lt;BF6,"2","X"))="X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0,BF4=1),3,0),0)+IF(AND(BE5&lt;&gt;"",BF5&lt;&gt;""),IF(AND(BE5=0,BF5=2),3,0),0)+IF(AND(BE6&lt;&gt;"",BF6&lt;&gt;""),IF(AND(BE6=2,BF6=1),3,0),0)+IF(AND(BE7&lt;&gt;"",BF7&lt;&gt;""),IF(AND(BE7=4,BF7=2),3,0),0)+IF(AND(BE8&lt;&gt;"",BF8&lt;&gt;""),IF(AND(BE8=1,BF8=1),3,0),0)+IF(AND(BE9&lt;&gt;"",BF9&lt;&gt;""),IF(AND(BE9=1,BF9=3)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2,BF4=0),3,0),0)+IF(AND(BE5&lt;&gt;"",BF5&lt;&gt;""),IF(AND(BE5=1,BF5=3),3,0),0)+IF(AND(BE6&lt;&gt;"",BF6&lt;&gt;""),IF(AND(BE6=4,BF6=0),3,0),0)+IF(AND(BE7&lt;&gt;"",BF7&lt;&gt;""),IF(AND(BE7=2,BF7=1),3,0),0)+IF(AND(BE8&lt;&gt;"",BF8&lt;&gt;""),IF(AND(BE8=0,BF8=3),3,0),0)+IF(AND(BE9&lt;&gt;"",BF9&lt;&gt;""),IF(AND(BE9=2,BF9=3),3,0),0)</f>
        <v>0</v>
      </c>
      <c r="M18" s="133"/>
      <c r="N18" s="133"/>
      <c r="O18" s="136" t="n">
        <f aca="false">IF(AND(BE4&lt;&gt;"",BF4&lt;&gt;""),IF(AND(BE4=2,BF4=1),3,0),0)+IF(AND(BE5&lt;&gt;"",BF5&lt;&gt;""),IF(AND(BE5=1,BF5=1),3,0),0)+IF(AND(BE6&lt;&gt;"",BF6&lt;&gt;""),IF(AND(BE6=2,BF6=0),3,0),0)+IF(AND(BE7&lt;&gt;"",BF7&lt;&gt;""),IF(AND(BE7=2,BF7=0),3,0),0)+IF(AND(BE8&lt;&gt;"",BF8&lt;&gt;""),IF(AND(BE8=0,BF8=2),3,0),0)+IF(AND(BE9&lt;&gt;"",BF9&lt;&gt;""),IF(AND(BE9=1,BF9=1),3,0),0)</f>
        <v>0</v>
      </c>
      <c r="P18" s="133"/>
      <c r="Q18" s="133"/>
      <c r="R18" s="137" t="n">
        <f aca="false">IF(AND(BE4&lt;&gt;"",BF4&lt;&gt;""),IF(AND(BE4=3,BF4=2),3,0),0)+IF(AND(BE5&lt;&gt;"",BF5&lt;&gt;""),IF(AND(BE5=1,BF5=2),3,0),0)+IF(AND(BE6&lt;&gt;"",BF6&lt;&gt;""),IF(AND(BE6=4,BF6=2),3,0),0)+IF(AND(BE7&lt;&gt;"",BF7&lt;&gt;""),IF(AND(BE7=3,BF7=1),3,0),0)+IF(AND(BE8&lt;&gt;"",BF8&lt;&gt;""),IF(AND(BE8=1,BF8=3),3,0),0)+IF(AND(BE9&lt;&gt;"",BF9&lt;&gt;""),IF(AND(BE9=2,BF9=2),3,0),0)</f>
        <v>0</v>
      </c>
      <c r="S18" s="133"/>
      <c r="T18" s="133"/>
      <c r="U18" s="138" t="n">
        <f aca="false">IF(AND(BE4&lt;&gt;"",BF4&lt;&gt;""),IF(AND(BE4=3,BF4=2),3,0),0)+IF(AND(BE5&lt;&gt;"",BF5&lt;&gt;""),IF(AND(BE5=1,BF5=2),3,0),0)+IF(AND(BE6&lt;&gt;"",BF6&lt;&gt;""),IF(AND(BE6=3,BF6=1),3,0),0)+IF(AND(BE7&lt;&gt;"",BF7&lt;&gt;""),IF(AND(BE7=3,BF7=0),3,0),0)+IF(AND(BE8&lt;&gt;"",BF8&lt;&gt;""),IF(AND(BE8=1,BF8=4),3,0),0)+IF(AND(BE9&lt;&gt;"",BF9&lt;&gt;""),IF(AND(BE9=1,BF9=2),3,0),0)</f>
        <v>0</v>
      </c>
      <c r="V18" s="133"/>
      <c r="W18" s="133"/>
      <c r="X18" s="139" t="n">
        <f aca="false">IF(AND(BE4&lt;&gt;"",BF4&lt;&gt;""),IF(AND(BE4=1,BF4=1),3,0),0)+IF(AND(BE5&lt;&gt;"",BF5&lt;&gt;""),IF(AND(BE5=0,BF5=0),3,0),0)+IF(AND(BE6&lt;&gt;"",BF6&lt;&gt;""),IF(AND(BE6=2,BF6=0),3,0),0)+IF(AND(BE7&lt;&gt;"",BF7&lt;&gt;""),IF(AND(BE7=1,BF7=0),3,0),0)+IF(AND(BE8&lt;&gt;"",BF8&lt;&gt;""),IF(AND(BE8=1,BF8=2),3,0),0)+IF(AND(BE9&lt;&gt;"",BF9&lt;&gt;""),IF(AND(BE9=1,BF9=2),3,0),0)</f>
        <v>0</v>
      </c>
      <c r="Y18" s="133"/>
      <c r="Z18" s="133"/>
      <c r="AA18" s="140" t="n">
        <f aca="false">IF(AND(BE4&lt;&gt;"",BF4&lt;&gt;""),IF(AND(BE4=2,BF4=1),3,0),0)+IF(AND(BE5&lt;&gt;"",BF5&lt;&gt;""),IF(AND(BE5=0,BF5=2),3,0),0)+IF(AND(BE6&lt;&gt;"",BF6&lt;&gt;""),IF(AND(BE6=2,BF6=0),3,0),0)+IF(AND(BE7&lt;&gt;"",BF7&lt;&gt;""),IF(AND(BE7=2,BF7=0),3,0),0)+IF(AND(BE8&lt;&gt;"",BF8&lt;&gt;""),IF(AND(BE8=0,BF8=2),3,0),0)+IF(AND(BE9&lt;&gt;"",BF9&lt;&gt;""),IF(AND(BE9=1,BF9=2),3,0),0)</f>
        <v>0</v>
      </c>
      <c r="AB18" s="133"/>
      <c r="AC18" s="133"/>
      <c r="AD18" s="141" t="n">
        <f aca="false">IF(AND(BE4&lt;&gt;"",BF4&lt;&gt;""),IF(AND(BE4=1,BF4=0),3,0),0)+IF(AND(BE5&lt;&gt;"",BF5&lt;&gt;""),IF(AND(BE5=1,BF5=1),3,0),0)+IF(AND(BE6&lt;&gt;"",BF6&lt;&gt;""),IF(AND(BE6=2,BF6=1),3,0),0)+IF(AND(BE7&lt;&gt;"",BF7&lt;&gt;""),IF(AND(BE7=1,BF7=0),3,0),0)+IF(AND(BE8&lt;&gt;"",BF8&lt;&gt;""),IF(AND(BE8=1,BF8=2),3,0),0)+IF(AND(BE9&lt;&gt;"",BF9&lt;&gt;""),IF(AND(BE9=0,BF9=1),3,0),0)</f>
        <v>0</v>
      </c>
      <c r="AE18" s="133"/>
      <c r="AF18" s="133"/>
      <c r="AG18" s="142" t="n">
        <f aca="false">IF(AND(BE4&lt;&gt;"",BF4&lt;&gt;""),IF(AND(BE4=2,BF4=1),3,0),0)+IF(AND(BE5&lt;&gt;"",BF5&lt;&gt;""),IF(AND(BE5=0,BF5=2),3,0),0)+IF(AND(BE6&lt;&gt;"",BF6&lt;&gt;""),IF(AND(BE6=2,BF6=2),3,0),0)+IF(AND(BE7&lt;&gt;"",BF7&lt;&gt;""),IF(AND(BE7=2,BF7=1),3,0),0)+IF(AND(BE8&lt;&gt;"",BF8&lt;&gt;""),IF(AND(BE8=1,BF8=3),3,0),0)+IF(AND(BE9&lt;&gt;"",BF9&lt;&gt;""),IF(AND(BE9=2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1,BF4=2),3,0),0)+IF(AND(BE5&lt;&gt;"",BF5&lt;&gt;""),IF(AND(BE5=1,BF5=1),3,0),0)+IF(AND(BE6&lt;&gt;"",BF6&lt;&gt;""),IF(AND(BE6=2,BF6=2),3,0),0)+IF(AND(BE7&lt;&gt;"",BF7&lt;&gt;""),IF(AND(BE7=2,BF7=1),3,0),0)+IF(AND(BE8&lt;&gt;"",BF8&lt;&gt;""),IF(AND(BE8=1,BF8=3),3,0),0)+IF(AND(BE9&lt;&gt;"",BF9&lt;&gt;""),IF(AND(BE9=1,BF9=1),3,0),0)</f>
        <v>0</v>
      </c>
      <c r="AN18" s="133"/>
      <c r="AO18" s="133"/>
      <c r="AP18" s="145" t="n">
        <f aca="false">IF(AND(BE4&lt;&gt;"",BF4&lt;&gt;""),IF(AND(BE4=1,BF4=2),3,0),0)+IF(AND(BE5&lt;&gt;"",BF5&lt;&gt;""),IF(AND(BE5=0,BF5=2),3,0),0)+IF(AND(BE6&lt;&gt;"",BF6&lt;&gt;""),IF(AND(BE6=2,BF6=1),3,0),0)+IF(AND(BE7&lt;&gt;"",BF7&lt;&gt;""),IF(AND(BE7=2,BF7=0),3,0),0)+IF(AND(BE8&lt;&gt;"",BF8&lt;&gt;""),IF(AND(BE8=0,BF8=2),3,0),0)+IF(AND(BE9&lt;&gt;"",BF9&lt;&gt;""),IF(AND(BE9=1,BF9=1),3,0),0)</f>
        <v>0</v>
      </c>
      <c r="AQ18" s="133"/>
      <c r="AR18" s="133"/>
      <c r="AS18" s="146" t="n">
        <f aca="false">IF(AND(BE4&lt;&gt;"",BF4&lt;&gt;""),IF(AND(BE4=2,BF4=0),3,0),0)+IF(AND(BE5&lt;&gt;"",BF5&lt;&gt;""),IF(AND(BE5=0,BF5=2),3,0),0)+IF(AND(BE6&lt;&gt;"",BF6&lt;&gt;""),IF(AND(BE6=2,BF6=1),3,0),0)+IF(AND(BE7&lt;&gt;"",BF7&lt;&gt;""),IF(AND(BE7=1,BF7=1),3,0),0)+IF(AND(BE8&lt;&gt;"",BF8&lt;&gt;""),IF(AND(BE8=1,BF8=3),3,0),0)+IF(AND(BE9&lt;&gt;"",BF9&lt;&gt;""),IF(AND(BE9=2,BF9=0),3,0),0)</f>
        <v>0</v>
      </c>
      <c r="AT18" s="133"/>
      <c r="AU18" s="133"/>
      <c r="AV18" s="147" t="n">
        <f aca="false">IF(AND(BE4&lt;&gt;"",BF4&lt;&gt;""),IF(AND(BE4=2,BF4=1),3,0),0)+IF(AND(BE5&lt;&gt;"",BF5&lt;&gt;""),IF(AND(BE5=1,BF5=1),3,0),0)+IF(AND(BE6&lt;&gt;"",BF6&lt;&gt;""),IF(AND(BE6=1,BF6=0),3,0),0)+IF(AND(BE7&lt;&gt;"",BF7&lt;&gt;""),IF(AND(BE7=0,BF7=0),3,0),0)+IF(AND(BE8&lt;&gt;"",BF8&lt;&gt;""),IF(AND(BE8=1,BF8=2),3,0),0)+IF(AND(BE9&lt;&gt;"",BF9&lt;&gt;""),IF(AND(BE9=1,BF9=1),3,0),0)</f>
        <v>0</v>
      </c>
      <c r="AW18" s="133"/>
      <c r="AX18" s="133"/>
      <c r="AY18" s="148" t="n">
        <f aca="false">IF(AND(BE4&lt;&gt;"",BF4&lt;&gt;""),IF(AND(BE4=2,BF4=1),3,0),0)+IF(AND(BE5&lt;&gt;"",BF5&lt;&gt;""),IF(AND(BE5=1,BF5=1),3,0),0)+IF(AND(BE6&lt;&gt;"",BF6&lt;&gt;""),IF(AND(BE6=2,BF6=0),3,0),0)+IF(AND(BE7&lt;&gt;"",BF7&lt;&gt;""),IF(AND(BE7=2,BF7=0),3,0),0)+IF(AND(BE8&lt;&gt;"",BF8&lt;&gt;""),IF(AND(BE8=1,BF8=1),3,0),0)+IF(AND(BE9&lt;&gt;"",BF9&lt;&gt;""),IF(AND(BE9=1,BF9=1),3,0),0)</f>
        <v>0</v>
      </c>
      <c r="AZ18" s="133"/>
      <c r="BA18" s="133"/>
      <c r="BB18" s="149" t="n">
        <f aca="false">IF(AND(BE4&lt;&gt;"",BF4&lt;&gt;""),IF(AND(BE4=3,BF4=2),3,0),0)+IF(AND(BE5&lt;&gt;"",BF5&lt;&gt;""),IF(AND(BE5=0,BF5=1),3,0),0)+IF(AND(BE6&lt;&gt;"",BF6&lt;&gt;""),IF(AND(BE6=2,BF6=1),3,0),0)+IF(AND(BE7&lt;&gt;"",BF7&lt;&gt;""),IF(AND(BE7=2,BF7=1),3,0),0)+IF(AND(BE8&lt;&gt;"",BF8&lt;&gt;""),IF(AND(BE8=1,BF8=3)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IF(C12&lt;&gt;"",IF(C12="Japón",4,0),0)+IF(C13&lt;&gt;"",IF(C13="Países Bajos",2,0),0)+0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IF(C12&lt;&gt;"",IF(C12="Países Bajos",4,0),0)+IF(C13&lt;&gt;"",IF(C13="Japón",2,0),0)+IF(C14&lt;&gt;"",IF(C14="Suecia",1,0),0)</f>
        <v>0</v>
      </c>
      <c r="M19" s="152"/>
      <c r="N19" s="152"/>
      <c r="O19" s="155" t="n">
        <f aca="false">IF(C12&lt;&gt;"",IF(C12="Países Bajos",4,0),0)+IF(C13&lt;&gt;"",IF(C13="Japón",2,0),0)+IF(C14&lt;&gt;"",IF(C14="Suecia",1,0),0)</f>
        <v>0</v>
      </c>
      <c r="P19" s="152"/>
      <c r="Q19" s="152"/>
      <c r="R19" s="156" t="n">
        <f aca="false">IF(C12&lt;&gt;"",IF(C12="Países bajos",4,0),0)+IF(C13&lt;&gt;"",IF(C13="Japón",2,0),0)+IF(C14&lt;&gt;"",IF(C14="Suecia",1,0),0)</f>
        <v>0</v>
      </c>
      <c r="S19" s="152"/>
      <c r="T19" s="152"/>
      <c r="U19" s="157" t="n">
        <f aca="false">IF(C12&lt;&gt;"",IF(C12="Países Bajos",4,0),0)+IF(C13&lt;&gt;"",IF(C13="Japón",2,0),0)+IF(C14&lt;&gt;"",IF(C14="Suecia",1,0),0)</f>
        <v>0</v>
      </c>
      <c r="V19" s="152"/>
      <c r="W19" s="152"/>
      <c r="X19" s="158" t="n">
        <f aca="false">IF(C12&lt;&gt;"",IF(C12="Países Bajos",4,0),0)+IF(C13&lt;&gt;"",IF(C13="Japón",2,0),0)+IF(C14&lt;&gt;"",IF(C14="Suecia",1,0),0)</f>
        <v>0</v>
      </c>
      <c r="Y19" s="152"/>
      <c r="Z19" s="152"/>
      <c r="AA19" s="159" t="n">
        <f aca="false">IF(C12&lt;&gt;"",IF(C12="Países Bajos",4,0),0)+IF(C13&lt;&gt;"",IF(C13="Japón",2,0),0)+IF(C14&lt;&gt;"",IF(C14="Suecia",1,0),0)</f>
        <v>0</v>
      </c>
      <c r="AB19" s="152"/>
      <c r="AC19" s="152"/>
      <c r="AD19" s="160" t="n">
        <f aca="false">IF(C12&lt;&gt;"",IF(C12="PAISES BAJOS",4,0),0)+IF(C13&lt;&gt;"",IF(C13="JAPÓN",2,0),0)+IF(C14&lt;&gt;"",IF(C14="SUECIA",1,0),0)</f>
        <v>0</v>
      </c>
      <c r="AE19" s="152"/>
      <c r="AF19" s="152"/>
      <c r="AG19" s="161" t="n">
        <f aca="false">IF(C12&lt;&gt;"",IF(C12="PAÍSES BAJOS",4,0),0)+IF(C13&lt;&gt;"",IF(C13="SUECIA",2,0),0)+IF(C14&lt;&gt;"",IF(C14="JAPÓN",1,0),0)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IF(C12&lt;&gt;"",IF(C12="Japon",4,0),0)+IF(C13&lt;&gt;"",IF(C13="Holanda",2,0),0)+IF(C14&lt;&gt;"",IF(C14="Suecia",1,0),0)</f>
        <v>0</v>
      </c>
      <c r="AN19" s="152"/>
      <c r="AO19" s="152"/>
      <c r="AP19" s="164" t="n">
        <f aca="false">IF(C12&lt;&gt;"",IF(C12="Japón",4,0),0)+IF(C13&lt;&gt;"",IF(C13="Países Bajos",2,0),0)+IF(C14&lt;&gt;"",IF(C14="Suecia",1,0),0)</f>
        <v>0</v>
      </c>
      <c r="AQ19" s="152"/>
      <c r="AR19" s="152"/>
      <c r="AS19" s="165" t="n">
        <f aca="false">IF(C12&lt;&gt;"",IF(C12="Paises Bajos",4,0),0)+IF(C13&lt;&gt;"",IF(C13="Suecia",2,0),0)+IF(C14&lt;&gt;"",IF(C14="Tunez",1,0),0)</f>
        <v>0</v>
      </c>
      <c r="AT19" s="152"/>
      <c r="AU19" s="152"/>
      <c r="AV19" s="166" t="n">
        <f aca="false">IF(C12&lt;&gt;"",IF(C12="países bajos",4,0),0)+IF(C13&lt;&gt;"",IF(C13="japon",2,0),0)+IF(C14&lt;&gt;"",IF(C14="suecia",1,0),0)</f>
        <v>0</v>
      </c>
      <c r="AW19" s="152"/>
      <c r="AX19" s="152"/>
      <c r="AY19" s="167" t="n">
        <f aca="false">IF(C12&lt;&gt;"",IF(C12="Países Bajos",4,0),0)+IF(C13&lt;&gt;"",IF(C13="Japón",2,0),0)+IF(C14&lt;&gt;"",IF(C14="Suecia",1,0),0)</f>
        <v>0</v>
      </c>
      <c r="AZ19" s="152"/>
      <c r="BA19" s="152"/>
      <c r="BB19" s="168" t="n">
        <f aca="false">IF(C12&lt;&gt;"",IF(C12="Países Bajos",4,0),0)+IF(C13&lt;&gt;"",IF(C13="Japón",2,0),0)+IF(C14&lt;&gt;"",IF(C14="Suecia",1,0),0)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139</v>
      </c>
      <c r="C4" s="80" t="s">
        <v>35</v>
      </c>
      <c r="D4" s="81" t="s">
        <v>140</v>
      </c>
      <c r="E4" s="80"/>
      <c r="F4" s="82" t="n">
        <v>3</v>
      </c>
      <c r="G4" s="82" t="n">
        <v>2</v>
      </c>
      <c r="H4" s="82" t="s">
        <v>37</v>
      </c>
      <c r="I4" s="82"/>
      <c r="J4" s="82"/>
      <c r="K4" s="82"/>
      <c r="L4" s="82" t="n">
        <v>2</v>
      </c>
      <c r="M4" s="82" t="n">
        <v>0</v>
      </c>
      <c r="N4" s="82" t="s">
        <v>37</v>
      </c>
      <c r="O4" s="82" t="n">
        <v>2</v>
      </c>
      <c r="P4" s="82" t="n">
        <v>0</v>
      </c>
      <c r="Q4" s="82" t="s">
        <v>37</v>
      </c>
      <c r="R4" s="82" t="n">
        <v>2</v>
      </c>
      <c r="S4" s="82" t="n">
        <v>3</v>
      </c>
      <c r="T4" s="82" t="s">
        <v>41</v>
      </c>
      <c r="U4" s="82" t="n">
        <v>3</v>
      </c>
      <c r="V4" s="82" t="n">
        <v>0</v>
      </c>
      <c r="W4" s="82" t="s">
        <v>37</v>
      </c>
      <c r="X4" s="82" t="n">
        <v>3</v>
      </c>
      <c r="Y4" s="82" t="n">
        <v>1</v>
      </c>
      <c r="Z4" s="82" t="s">
        <v>37</v>
      </c>
      <c r="AA4" s="82" t="n">
        <v>2</v>
      </c>
      <c r="AB4" s="82" t="n">
        <v>0</v>
      </c>
      <c r="AC4" s="82" t="s">
        <v>37</v>
      </c>
      <c r="AD4" s="82" t="n">
        <v>1</v>
      </c>
      <c r="AE4" s="82" t="n">
        <v>0</v>
      </c>
      <c r="AF4" s="82" t="s">
        <v>38</v>
      </c>
      <c r="AG4" s="82" t="n">
        <v>2</v>
      </c>
      <c r="AH4" s="82" t="n">
        <v>1</v>
      </c>
      <c r="AI4" s="82" t="s">
        <v>37</v>
      </c>
      <c r="AJ4" s="82"/>
      <c r="AK4" s="82"/>
      <c r="AL4" s="82"/>
      <c r="AM4" s="82" t="n">
        <v>2</v>
      </c>
      <c r="AN4" s="82" t="n">
        <v>0</v>
      </c>
      <c r="AO4" s="82" t="s">
        <v>37</v>
      </c>
      <c r="AP4" s="82" t="n">
        <v>2</v>
      </c>
      <c r="AQ4" s="82" t="n">
        <v>0</v>
      </c>
      <c r="AR4" s="82" t="s">
        <v>37</v>
      </c>
      <c r="AS4" s="82" t="n">
        <v>1</v>
      </c>
      <c r="AT4" s="82" t="n">
        <v>1</v>
      </c>
      <c r="AU4" s="82" t="s">
        <v>38</v>
      </c>
      <c r="AV4" s="82" t="n">
        <v>2</v>
      </c>
      <c r="AW4" s="82" t="n">
        <v>0</v>
      </c>
      <c r="AX4" s="82" t="s">
        <v>37</v>
      </c>
      <c r="AY4" s="82" t="n">
        <v>1</v>
      </c>
      <c r="AZ4" s="82" t="n">
        <v>1</v>
      </c>
      <c r="BA4" s="82" t="s">
        <v>37</v>
      </c>
      <c r="BB4" s="82" t="n">
        <v>2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141</v>
      </c>
      <c r="C5" s="84" t="s">
        <v>35</v>
      </c>
      <c r="D5" s="85" t="s">
        <v>142</v>
      </c>
      <c r="E5" s="84"/>
      <c r="F5" s="86" t="n">
        <v>1</v>
      </c>
      <c r="G5" s="86" t="n">
        <v>1</v>
      </c>
      <c r="H5" s="86" t="s">
        <v>38</v>
      </c>
      <c r="I5" s="86"/>
      <c r="J5" s="86"/>
      <c r="K5" s="86"/>
      <c r="L5" s="86" t="n">
        <v>1</v>
      </c>
      <c r="M5" s="86" t="n">
        <v>0</v>
      </c>
      <c r="N5" s="86" t="s">
        <v>38</v>
      </c>
      <c r="O5" s="86" t="n">
        <v>1</v>
      </c>
      <c r="P5" s="86" t="n">
        <v>0</v>
      </c>
      <c r="Q5" s="86" t="s">
        <v>37</v>
      </c>
      <c r="R5" s="86" t="n">
        <v>2</v>
      </c>
      <c r="S5" s="86" t="n">
        <v>1</v>
      </c>
      <c r="T5" s="86" t="s">
        <v>37</v>
      </c>
      <c r="U5" s="86" t="n">
        <v>1</v>
      </c>
      <c r="V5" s="86" t="n">
        <v>0</v>
      </c>
      <c r="W5" s="86" t="s">
        <v>38</v>
      </c>
      <c r="X5" s="86" t="n">
        <v>2</v>
      </c>
      <c r="Y5" s="86" t="n">
        <v>0</v>
      </c>
      <c r="Z5" s="86" t="s">
        <v>37</v>
      </c>
      <c r="AA5" s="86" t="n">
        <v>1</v>
      </c>
      <c r="AB5" s="86" t="n">
        <v>0</v>
      </c>
      <c r="AC5" s="86" t="s">
        <v>37</v>
      </c>
      <c r="AD5" s="86" t="n">
        <v>2</v>
      </c>
      <c r="AE5" s="86" t="n">
        <v>0</v>
      </c>
      <c r="AF5" s="86" t="s">
        <v>37</v>
      </c>
      <c r="AG5" s="86" t="n">
        <v>1</v>
      </c>
      <c r="AH5" s="86" t="n">
        <v>1</v>
      </c>
      <c r="AI5" s="86" t="s">
        <v>37</v>
      </c>
      <c r="AJ5" s="86"/>
      <c r="AK5" s="86"/>
      <c r="AL5" s="86"/>
      <c r="AM5" s="86" t="n">
        <v>1</v>
      </c>
      <c r="AN5" s="86" t="n">
        <v>1</v>
      </c>
      <c r="AO5" s="86" t="s">
        <v>38</v>
      </c>
      <c r="AP5" s="86" t="n">
        <v>0</v>
      </c>
      <c r="AQ5" s="86" t="n">
        <v>0</v>
      </c>
      <c r="AR5" s="86" t="s">
        <v>38</v>
      </c>
      <c r="AS5" s="86" t="n">
        <v>0</v>
      </c>
      <c r="AT5" s="86" t="n">
        <v>0</v>
      </c>
      <c r="AU5" s="86" t="s">
        <v>38</v>
      </c>
      <c r="AV5" s="86" t="n">
        <v>1</v>
      </c>
      <c r="AW5" s="86" t="n">
        <v>0</v>
      </c>
      <c r="AX5" s="86" t="s">
        <v>37</v>
      </c>
      <c r="AY5" s="86" t="n">
        <v>0</v>
      </c>
      <c r="AZ5" s="86" t="n">
        <v>0</v>
      </c>
      <c r="BA5" s="86" t="s">
        <v>38</v>
      </c>
      <c r="BB5" s="86" t="n">
        <v>1</v>
      </c>
      <c r="BC5" s="86" t="n">
        <v>0</v>
      </c>
      <c r="BD5" s="86" t="s">
        <v>37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139</v>
      </c>
      <c r="C6" s="80" t="s">
        <v>35</v>
      </c>
      <c r="D6" s="81" t="s">
        <v>141</v>
      </c>
      <c r="E6" s="80"/>
      <c r="F6" s="82" t="n">
        <v>2</v>
      </c>
      <c r="G6" s="82" t="n">
        <v>0</v>
      </c>
      <c r="H6" s="82" t="s">
        <v>37</v>
      </c>
      <c r="I6" s="82"/>
      <c r="J6" s="82"/>
      <c r="K6" s="82"/>
      <c r="L6" s="82" t="n">
        <v>4</v>
      </c>
      <c r="M6" s="82" t="n">
        <v>1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3</v>
      </c>
      <c r="S6" s="82" t="n">
        <v>1</v>
      </c>
      <c r="T6" s="82" t="s">
        <v>37</v>
      </c>
      <c r="U6" s="82" t="n">
        <v>2</v>
      </c>
      <c r="V6" s="82" t="n">
        <v>0</v>
      </c>
      <c r="W6" s="82" t="s">
        <v>37</v>
      </c>
      <c r="X6" s="82" t="n">
        <v>2</v>
      </c>
      <c r="Y6" s="82" t="n">
        <v>1</v>
      </c>
      <c r="Z6" s="82" t="s">
        <v>37</v>
      </c>
      <c r="AA6" s="82" t="n">
        <v>2</v>
      </c>
      <c r="AB6" s="82" t="n">
        <v>0</v>
      </c>
      <c r="AC6" s="82" t="s">
        <v>37</v>
      </c>
      <c r="AD6" s="82" t="n">
        <v>2</v>
      </c>
      <c r="AE6" s="82" t="n">
        <v>1</v>
      </c>
      <c r="AF6" s="82" t="s">
        <v>38</v>
      </c>
      <c r="AG6" s="82" t="n">
        <v>3</v>
      </c>
      <c r="AH6" s="82" t="n">
        <v>0</v>
      </c>
      <c r="AI6" s="82" t="s">
        <v>37</v>
      </c>
      <c r="AJ6" s="82"/>
      <c r="AK6" s="82"/>
      <c r="AL6" s="82"/>
      <c r="AM6" s="82" t="n">
        <v>2</v>
      </c>
      <c r="AN6" s="82" t="n">
        <v>1</v>
      </c>
      <c r="AO6" s="82" t="s">
        <v>37</v>
      </c>
      <c r="AP6" s="82" t="n">
        <v>3</v>
      </c>
      <c r="AQ6" s="82" t="n">
        <v>0</v>
      </c>
      <c r="AR6" s="82" t="s">
        <v>37</v>
      </c>
      <c r="AS6" s="82" t="n">
        <v>2</v>
      </c>
      <c r="AT6" s="82" t="n">
        <v>0</v>
      </c>
      <c r="AU6" s="82" t="s">
        <v>37</v>
      </c>
      <c r="AV6" s="82" t="n">
        <v>2</v>
      </c>
      <c r="AW6" s="82" t="n">
        <v>1</v>
      </c>
      <c r="AX6" s="82" t="s">
        <v>37</v>
      </c>
      <c r="AY6" s="82" t="n">
        <v>2</v>
      </c>
      <c r="AZ6" s="82" t="n">
        <v>1</v>
      </c>
      <c r="BA6" s="82" t="s">
        <v>37</v>
      </c>
      <c r="BB6" s="82" t="n">
        <v>2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142</v>
      </c>
      <c r="C7" s="84" t="s">
        <v>35</v>
      </c>
      <c r="D7" s="85" t="s">
        <v>140</v>
      </c>
      <c r="E7" s="84"/>
      <c r="F7" s="86" t="n">
        <v>0</v>
      </c>
      <c r="G7" s="86" t="n">
        <v>3</v>
      </c>
      <c r="H7" s="86" t="s">
        <v>41</v>
      </c>
      <c r="I7" s="86"/>
      <c r="J7" s="86"/>
      <c r="K7" s="86"/>
      <c r="L7" s="86" t="n">
        <v>1</v>
      </c>
      <c r="M7" s="86" t="n">
        <v>3</v>
      </c>
      <c r="N7" s="86" t="s">
        <v>41</v>
      </c>
      <c r="O7" s="86" t="n">
        <v>0</v>
      </c>
      <c r="P7" s="86" t="n">
        <v>1</v>
      </c>
      <c r="Q7" s="86" t="s">
        <v>41</v>
      </c>
      <c r="R7" s="86" t="n">
        <v>1</v>
      </c>
      <c r="S7" s="86" t="n">
        <v>3</v>
      </c>
      <c r="T7" s="86" t="s">
        <v>41</v>
      </c>
      <c r="U7" s="86" t="n">
        <v>1</v>
      </c>
      <c r="V7" s="86" t="n">
        <v>3</v>
      </c>
      <c r="W7" s="86" t="s">
        <v>41</v>
      </c>
      <c r="X7" s="86" t="n">
        <v>0</v>
      </c>
      <c r="Y7" s="86" t="n">
        <v>3</v>
      </c>
      <c r="Z7" s="86" t="s">
        <v>41</v>
      </c>
      <c r="AA7" s="86" t="n">
        <v>0</v>
      </c>
      <c r="AB7" s="86" t="n">
        <v>1</v>
      </c>
      <c r="AC7" s="86" t="s">
        <v>41</v>
      </c>
      <c r="AD7" s="86" t="n">
        <v>0</v>
      </c>
      <c r="AE7" s="86" t="n">
        <v>1</v>
      </c>
      <c r="AF7" s="86" t="s">
        <v>38</v>
      </c>
      <c r="AG7" s="86" t="n">
        <v>1</v>
      </c>
      <c r="AH7" s="86" t="n">
        <v>2</v>
      </c>
      <c r="AI7" s="86" t="s">
        <v>41</v>
      </c>
      <c r="AJ7" s="86"/>
      <c r="AK7" s="86"/>
      <c r="AL7" s="86"/>
      <c r="AM7" s="86" t="n">
        <v>1</v>
      </c>
      <c r="AN7" s="86" t="n">
        <v>2</v>
      </c>
      <c r="AO7" s="86" t="s">
        <v>41</v>
      </c>
      <c r="AP7" s="86" t="n">
        <v>0</v>
      </c>
      <c r="AQ7" s="86" t="n">
        <v>1</v>
      </c>
      <c r="AR7" s="86" t="s">
        <v>38</v>
      </c>
      <c r="AS7" s="86" t="n">
        <v>0</v>
      </c>
      <c r="AT7" s="86" t="n">
        <v>1</v>
      </c>
      <c r="AU7" s="86" t="s">
        <v>41</v>
      </c>
      <c r="AV7" s="86" t="n">
        <v>0</v>
      </c>
      <c r="AW7" s="86" t="n">
        <v>1</v>
      </c>
      <c r="AX7" s="86" t="s">
        <v>41</v>
      </c>
      <c r="AY7" s="86" t="n">
        <v>2</v>
      </c>
      <c r="AZ7" s="86" t="n">
        <v>1</v>
      </c>
      <c r="BA7" s="86" t="s">
        <v>38</v>
      </c>
      <c r="BB7" s="86" t="n">
        <v>0</v>
      </c>
      <c r="BC7" s="86" t="n">
        <v>1</v>
      </c>
      <c r="BD7" s="86" t="s">
        <v>41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139</v>
      </c>
      <c r="C8" s="80" t="s">
        <v>35</v>
      </c>
      <c r="D8" s="81" t="s">
        <v>142</v>
      </c>
      <c r="E8" s="80"/>
      <c r="F8" s="82" t="n">
        <v>2</v>
      </c>
      <c r="G8" s="82" t="n">
        <v>0</v>
      </c>
      <c r="H8" s="82" t="s">
        <v>37</v>
      </c>
      <c r="I8" s="82"/>
      <c r="J8" s="82"/>
      <c r="K8" s="82"/>
      <c r="L8" s="82" t="n">
        <v>6</v>
      </c>
      <c r="M8" s="82" t="n">
        <v>0</v>
      </c>
      <c r="N8" s="82" t="s">
        <v>37</v>
      </c>
      <c r="O8" s="82" t="n">
        <v>3</v>
      </c>
      <c r="P8" s="82" t="n">
        <v>0</v>
      </c>
      <c r="Q8" s="82" t="s">
        <v>37</v>
      </c>
      <c r="R8" s="82" t="n">
        <v>2</v>
      </c>
      <c r="S8" s="82" t="n">
        <v>1</v>
      </c>
      <c r="T8" s="82" t="s">
        <v>37</v>
      </c>
      <c r="U8" s="82" t="n">
        <v>4</v>
      </c>
      <c r="V8" s="82" t="n">
        <v>1</v>
      </c>
      <c r="W8" s="82" t="s">
        <v>37</v>
      </c>
      <c r="X8" s="82" t="n">
        <v>4</v>
      </c>
      <c r="Y8" s="82" t="n">
        <v>0</v>
      </c>
      <c r="Z8" s="82" t="s">
        <v>37</v>
      </c>
      <c r="AA8" s="82" t="n">
        <v>3</v>
      </c>
      <c r="AB8" s="82" t="n">
        <v>0</v>
      </c>
      <c r="AC8" s="82" t="s">
        <v>37</v>
      </c>
      <c r="AD8" s="82" t="n">
        <v>3</v>
      </c>
      <c r="AE8" s="82" t="n">
        <v>1</v>
      </c>
      <c r="AF8" s="82" t="s">
        <v>37</v>
      </c>
      <c r="AG8" s="82" t="n">
        <v>2</v>
      </c>
      <c r="AH8" s="82" t="n">
        <v>0</v>
      </c>
      <c r="AI8" s="82" t="s">
        <v>37</v>
      </c>
      <c r="AJ8" s="82"/>
      <c r="AK8" s="82"/>
      <c r="AL8" s="82"/>
      <c r="AM8" s="82" t="n">
        <v>3</v>
      </c>
      <c r="AN8" s="82" t="n">
        <v>0</v>
      </c>
      <c r="AO8" s="82" t="s">
        <v>37</v>
      </c>
      <c r="AP8" s="82" t="n">
        <v>3</v>
      </c>
      <c r="AQ8" s="82" t="n">
        <v>1</v>
      </c>
      <c r="AR8" s="82" t="s">
        <v>37</v>
      </c>
      <c r="AS8" s="82" t="n">
        <v>2</v>
      </c>
      <c r="AT8" s="82" t="n">
        <v>0</v>
      </c>
      <c r="AU8" s="82" t="s">
        <v>37</v>
      </c>
      <c r="AV8" s="82" t="n">
        <v>3</v>
      </c>
      <c r="AW8" s="82" t="n">
        <v>0</v>
      </c>
      <c r="AX8" s="82" t="s">
        <v>37</v>
      </c>
      <c r="AY8" s="82" t="n">
        <v>3</v>
      </c>
      <c r="AZ8" s="82" t="n">
        <v>0</v>
      </c>
      <c r="BA8" s="82" t="s">
        <v>37</v>
      </c>
      <c r="BB8" s="82" t="n">
        <v>3</v>
      </c>
      <c r="BC8" s="82" t="n">
        <v>0</v>
      </c>
      <c r="BD8" s="82" t="s">
        <v>37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140</v>
      </c>
      <c r="C9" s="84" t="s">
        <v>35</v>
      </c>
      <c r="D9" s="85" t="s">
        <v>141</v>
      </c>
      <c r="E9" s="84"/>
      <c r="F9" s="86" t="n">
        <v>2</v>
      </c>
      <c r="G9" s="86" t="n">
        <v>1</v>
      </c>
      <c r="H9" s="86" t="s">
        <v>37</v>
      </c>
      <c r="I9" s="86"/>
      <c r="J9" s="86"/>
      <c r="K9" s="86"/>
      <c r="L9" s="86" t="n">
        <v>2</v>
      </c>
      <c r="M9" s="86" t="n">
        <v>0</v>
      </c>
      <c r="N9" s="86" t="s">
        <v>37</v>
      </c>
      <c r="O9" s="86" t="n">
        <v>1</v>
      </c>
      <c r="P9" s="86" t="n">
        <v>0</v>
      </c>
      <c r="Q9" s="86" t="s">
        <v>37</v>
      </c>
      <c r="R9" s="86" t="n">
        <v>3</v>
      </c>
      <c r="S9" s="86" t="n">
        <v>0</v>
      </c>
      <c r="T9" s="86" t="s">
        <v>37</v>
      </c>
      <c r="U9" s="86" t="n">
        <v>2</v>
      </c>
      <c r="V9" s="86" t="n">
        <v>0</v>
      </c>
      <c r="W9" s="86" t="s">
        <v>37</v>
      </c>
      <c r="X9" s="86" t="n">
        <v>2</v>
      </c>
      <c r="Y9" s="86" t="n">
        <v>2</v>
      </c>
      <c r="Z9" s="86" t="s">
        <v>38</v>
      </c>
      <c r="AA9" s="86" t="n">
        <v>1</v>
      </c>
      <c r="AB9" s="86" t="n">
        <v>1</v>
      </c>
      <c r="AC9" s="86" t="s">
        <v>38</v>
      </c>
      <c r="AD9" s="86" t="n">
        <v>1</v>
      </c>
      <c r="AE9" s="86" t="n">
        <v>1</v>
      </c>
      <c r="AF9" s="86" t="s">
        <v>41</v>
      </c>
      <c r="AG9" s="86" t="n">
        <v>2</v>
      </c>
      <c r="AH9" s="86" t="n">
        <v>1</v>
      </c>
      <c r="AI9" s="86" t="s">
        <v>37</v>
      </c>
      <c r="AJ9" s="86"/>
      <c r="AK9" s="86"/>
      <c r="AL9" s="86"/>
      <c r="AM9" s="86" t="n">
        <v>1</v>
      </c>
      <c r="AN9" s="86" t="n">
        <v>1</v>
      </c>
      <c r="AO9" s="86" t="s">
        <v>38</v>
      </c>
      <c r="AP9" s="86" t="n">
        <v>4</v>
      </c>
      <c r="AQ9" s="86" t="n">
        <v>0</v>
      </c>
      <c r="AR9" s="86" t="s">
        <v>37</v>
      </c>
      <c r="AS9" s="86" t="n">
        <v>1</v>
      </c>
      <c r="AT9" s="86" t="n">
        <v>0</v>
      </c>
      <c r="AU9" s="86" t="s">
        <v>37</v>
      </c>
      <c r="AV9" s="86" t="n">
        <v>1</v>
      </c>
      <c r="AW9" s="86" t="n">
        <v>1</v>
      </c>
      <c r="AX9" s="86" t="s">
        <v>38</v>
      </c>
      <c r="AY9" s="86" t="n">
        <v>0</v>
      </c>
      <c r="AZ9" s="86" t="n">
        <v>0</v>
      </c>
      <c r="BA9" s="86" t="s">
        <v>41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139</v>
      </c>
      <c r="G12" s="90"/>
      <c r="H12" s="90"/>
      <c r="I12" s="91"/>
      <c r="J12" s="91"/>
      <c r="K12" s="91"/>
      <c r="L12" s="92" t="s">
        <v>139</v>
      </c>
      <c r="M12" s="92"/>
      <c r="N12" s="92"/>
      <c r="O12" s="93" t="s">
        <v>139</v>
      </c>
      <c r="P12" s="93"/>
      <c r="Q12" s="93"/>
      <c r="R12" s="94" t="s">
        <v>140</v>
      </c>
      <c r="S12" s="94"/>
      <c r="T12" s="94"/>
      <c r="U12" s="95" t="s">
        <v>139</v>
      </c>
      <c r="V12" s="95"/>
      <c r="W12" s="95"/>
      <c r="X12" s="96" t="s">
        <v>139</v>
      </c>
      <c r="Y12" s="96"/>
      <c r="Z12" s="96"/>
      <c r="AA12" s="97" t="s">
        <v>139</v>
      </c>
      <c r="AB12" s="97"/>
      <c r="AC12" s="97"/>
      <c r="AD12" s="98" t="s">
        <v>143</v>
      </c>
      <c r="AE12" s="98"/>
      <c r="AF12" s="98"/>
      <c r="AG12" s="99" t="s">
        <v>143</v>
      </c>
      <c r="AH12" s="99"/>
      <c r="AI12" s="99"/>
      <c r="AJ12" s="100"/>
      <c r="AK12" s="100"/>
      <c r="AL12" s="100"/>
      <c r="AM12" s="101" t="s">
        <v>144</v>
      </c>
      <c r="AN12" s="101"/>
      <c r="AO12" s="101"/>
      <c r="AP12" s="102" t="s">
        <v>139</v>
      </c>
      <c r="AQ12" s="102"/>
      <c r="AR12" s="102"/>
      <c r="AS12" s="103" t="s">
        <v>144</v>
      </c>
      <c r="AT12" s="103"/>
      <c r="AU12" s="103"/>
      <c r="AV12" s="104" t="s">
        <v>144</v>
      </c>
      <c r="AW12" s="104"/>
      <c r="AX12" s="104"/>
      <c r="AY12" s="105" t="s">
        <v>139</v>
      </c>
      <c r="AZ12" s="105"/>
      <c r="BA12" s="105"/>
      <c r="BB12" s="106" t="s">
        <v>139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140</v>
      </c>
      <c r="G13" s="90"/>
      <c r="H13" s="90"/>
      <c r="I13" s="91"/>
      <c r="J13" s="91"/>
      <c r="K13" s="91"/>
      <c r="L13" s="92" t="s">
        <v>140</v>
      </c>
      <c r="M13" s="92"/>
      <c r="N13" s="92"/>
      <c r="O13" s="93" t="s">
        <v>140</v>
      </c>
      <c r="P13" s="93"/>
      <c r="Q13" s="93"/>
      <c r="R13" s="94" t="s">
        <v>139</v>
      </c>
      <c r="S13" s="94"/>
      <c r="T13" s="94"/>
      <c r="U13" s="95" t="s">
        <v>140</v>
      </c>
      <c r="V13" s="95"/>
      <c r="W13" s="95"/>
      <c r="X13" s="96" t="s">
        <v>140</v>
      </c>
      <c r="Y13" s="96"/>
      <c r="Z13" s="96"/>
      <c r="AA13" s="97" t="s">
        <v>140</v>
      </c>
      <c r="AB13" s="97"/>
      <c r="AC13" s="97"/>
      <c r="AD13" s="98" t="s">
        <v>145</v>
      </c>
      <c r="AE13" s="98"/>
      <c r="AF13" s="98"/>
      <c r="AG13" s="99" t="s">
        <v>146</v>
      </c>
      <c r="AH13" s="99"/>
      <c r="AI13" s="99"/>
      <c r="AJ13" s="100"/>
      <c r="AK13" s="100"/>
      <c r="AL13" s="100"/>
      <c r="AM13" s="101" t="s">
        <v>147</v>
      </c>
      <c r="AN13" s="101"/>
      <c r="AO13" s="101"/>
      <c r="AP13" s="102" t="s">
        <v>140</v>
      </c>
      <c r="AQ13" s="102"/>
      <c r="AR13" s="102"/>
      <c r="AS13" s="103" t="s">
        <v>140</v>
      </c>
      <c r="AT13" s="103"/>
      <c r="AU13" s="103"/>
      <c r="AV13" s="104" t="s">
        <v>148</v>
      </c>
      <c r="AW13" s="104"/>
      <c r="AX13" s="104"/>
      <c r="AY13" s="105" t="s">
        <v>140</v>
      </c>
      <c r="AZ13" s="105"/>
      <c r="BA13" s="105"/>
      <c r="BB13" s="106" t="s">
        <v>141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205"/>
      <c r="G14" s="205"/>
      <c r="H14" s="205"/>
      <c r="I14" s="91"/>
      <c r="J14" s="91"/>
      <c r="K14" s="91"/>
      <c r="L14" s="92" t="s">
        <v>141</v>
      </c>
      <c r="M14" s="92"/>
      <c r="N14" s="92"/>
      <c r="O14" s="93" t="s">
        <v>141</v>
      </c>
      <c r="P14" s="93"/>
      <c r="Q14" s="93"/>
      <c r="R14" s="94" t="s">
        <v>141</v>
      </c>
      <c r="S14" s="94"/>
      <c r="T14" s="94"/>
      <c r="U14" s="95" t="s">
        <v>141</v>
      </c>
      <c r="V14" s="95"/>
      <c r="W14" s="95"/>
      <c r="X14" s="96" t="s">
        <v>141</v>
      </c>
      <c r="Y14" s="96"/>
      <c r="Z14" s="96"/>
      <c r="AA14" s="97" t="s">
        <v>141</v>
      </c>
      <c r="AB14" s="97"/>
      <c r="AC14" s="97"/>
      <c r="AD14" s="98" t="s">
        <v>146</v>
      </c>
      <c r="AE14" s="98"/>
      <c r="AF14" s="98"/>
      <c r="AG14" s="99" t="s">
        <v>145</v>
      </c>
      <c r="AH14" s="99"/>
      <c r="AI14" s="99"/>
      <c r="AJ14" s="100"/>
      <c r="AK14" s="100"/>
      <c r="AL14" s="100"/>
      <c r="AM14" s="101" t="s">
        <v>148</v>
      </c>
      <c r="AN14" s="101"/>
      <c r="AO14" s="101"/>
      <c r="AP14" s="102" t="s">
        <v>142</v>
      </c>
      <c r="AQ14" s="102"/>
      <c r="AR14" s="102"/>
      <c r="AS14" s="103" t="s">
        <v>142</v>
      </c>
      <c r="AT14" s="103"/>
      <c r="AU14" s="103"/>
      <c r="AV14" s="104" t="s">
        <v>140</v>
      </c>
      <c r="AW14" s="104"/>
      <c r="AX14" s="104"/>
      <c r="AY14" s="105" t="s">
        <v>148</v>
      </c>
      <c r="AZ14" s="105"/>
      <c r="BA14" s="105"/>
      <c r="BB14" s="106" t="s">
        <v>140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P17" s="113"/>
      <c r="Q17" s="113"/>
      <c r="R17" s="117" t="n">
        <f aca="false">IF(AND(BE4&lt;&gt;"",BF4&lt;&gt;""),IF(IF(BE4&gt;BF4,"1",IF(BE4&lt;BF4,"2","X"))="2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AB17" s="113"/>
      <c r="AC17" s="113"/>
      <c r="AD17" s="121" t="n">
        <f aca="false">IF(AND(BE4&lt;&gt;"",BF4&lt;&gt;""),IF(IF(BE4&gt;BF4,"1",IF(BE4&lt;BF4,"2","X"))="X",1,0),0)+IF(AND(BE5&lt;&gt;"",BF5&lt;&gt;""),IF(IF(BE5&gt;BF5,"1",IF(BE5&lt;BF5,"2","X"))="1",1,0),0)+IF(AND(BE6&lt;&gt;"",BF6&lt;&gt;""),IF(IF(BE6&gt;BF6,"1",IF(BE6&lt;BF6,"2","X"))="X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1",1,0),0)</f>
        <v>0</v>
      </c>
      <c r="AQ17" s="113"/>
      <c r="AR17" s="113"/>
      <c r="AS17" s="126" t="n">
        <f aca="false">IF(AND(BE4&lt;&gt;"",BF4&lt;&gt;""),IF(IF(BE4&gt;BF4,"1",IF(BE4&lt;BF4,"2","X"))="X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1",1,0),0)+IF(AND(BE9&lt;&gt;"",BF9&lt;&gt;""),IF(IF(BE9&gt;BF9,"1",IF(BE9&lt;BF9,"2","X"))="2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3,BF4=2),3,0),0)+IF(AND(BE5&lt;&gt;"",BF5&lt;&gt;""),IF(AND(BE5=1,BF5=1),3,0),0)+IF(AND(BE6&lt;&gt;"",BF6&lt;&gt;""),IF(AND(BE6=2,BF6=0),3,0),0)+IF(AND(BE7&lt;&gt;"",BF7&lt;&gt;""),IF(AND(BE7=0,BF7=3),3,0),0)+IF(AND(BE8&lt;&gt;"",BF8&lt;&gt;""),IF(AND(BE8=2,BF8=0),3,0),0)+IF(AND(BE9&lt;&gt;"",BF9&lt;&gt;""),IF(AND(BE9=2,BF9=1)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2,BF4=0),3,0),0)+IF(AND(BE5&lt;&gt;"",BF5&lt;&gt;""),IF(AND(BE5=1,BF5=0),3,0),0)+IF(AND(BE6&lt;&gt;"",BF6&lt;&gt;""),IF(AND(BE6=4,BF6=1),3,0),0)+IF(AND(BE7&lt;&gt;"",BF7&lt;&gt;""),IF(AND(BE7=1,BF7=3),3,0),0)+IF(AND(BE8&lt;&gt;"",BF8&lt;&gt;""),IF(AND(BE8=6,BF8=0),3,0),0)+IF(AND(BE9&lt;&gt;"",BF9&lt;&gt;""),IF(AND(BE9=2,BF9=0),3,0),0)</f>
        <v>0</v>
      </c>
      <c r="M18" s="133"/>
      <c r="N18" s="133"/>
      <c r="O18" s="136" t="n">
        <f aca="false">IF(AND(BE4&lt;&gt;"",BF4&lt;&gt;""),IF(AND(BE4=2,BF4=0),3,0),0)+IF(AND(BE5&lt;&gt;"",BF5&lt;&gt;""),IF(AND(BE5=1,BF5=0),3,0),0)+IF(AND(BE6&lt;&gt;"",BF6&lt;&gt;""),IF(AND(BE6=2,BF6=0),3,0),0)+IF(AND(BE7&lt;&gt;"",BF7&lt;&gt;""),IF(AND(BE7=0,BF7=1),3,0),0)+IF(AND(BE8&lt;&gt;"",BF8&lt;&gt;""),IF(AND(BE8=3,BF8=0),3,0),0)+IF(AND(BE9&lt;&gt;"",BF9&lt;&gt;""),IF(AND(BE9=1,BF9=0),3,0),0)</f>
        <v>0</v>
      </c>
      <c r="P18" s="133"/>
      <c r="Q18" s="133"/>
      <c r="R18" s="137" t="n">
        <f aca="false">IF(AND(BE4&lt;&gt;"",BF4&lt;&gt;""),IF(AND(BE4=2,BF4=3),3,0),0)+IF(AND(BE5&lt;&gt;"",BF5&lt;&gt;""),IF(AND(BE5=2,BF5=1),3,0),0)+IF(AND(BE6&lt;&gt;"",BF6&lt;&gt;""),IF(AND(BE6=3,BF6=1),3,0),0)+IF(AND(BE7&lt;&gt;"",BF7&lt;&gt;""),IF(AND(BE7=1,BF7=3),3,0),0)+IF(AND(BE8&lt;&gt;"",BF8&lt;&gt;""),IF(AND(BE8=2,BF8=1),3,0),0)+IF(AND(BE9&lt;&gt;"",BF9&lt;&gt;""),IF(AND(BE9=3,BF9=0),3,0),0)</f>
        <v>0</v>
      </c>
      <c r="S18" s="133"/>
      <c r="T18" s="133"/>
      <c r="U18" s="138" t="n">
        <f aca="false">IF(AND(BE4&lt;&gt;"",BF4&lt;&gt;""),IF(AND(BE4=3,BF4=0),3,0),0)+IF(AND(BE5&lt;&gt;"",BF5&lt;&gt;""),IF(AND(BE5=1,BF5=0),3,0),0)+IF(AND(BE6&lt;&gt;"",BF6&lt;&gt;""),IF(AND(BE6=2,BF6=0),3,0),0)+IF(AND(BE7&lt;&gt;"",BF7&lt;&gt;""),IF(AND(BE7=1,BF7=3),3,0),0)+IF(AND(BE8&lt;&gt;"",BF8&lt;&gt;""),IF(AND(BE8=4,BF8=1),3,0),0)+IF(AND(BE9&lt;&gt;"",BF9&lt;&gt;""),IF(AND(BE9=2,BF9=0),3,0),0)</f>
        <v>0</v>
      </c>
      <c r="V18" s="133"/>
      <c r="W18" s="133"/>
      <c r="X18" s="139" t="n">
        <f aca="false">IF(AND(BE4&lt;&gt;"",BF4&lt;&gt;""),IF(AND(BE4=3,BF4=1),3,0),0)+IF(AND(BE5&lt;&gt;"",BF5&lt;&gt;""),IF(AND(BE5=2,BF5=0),3,0),0)+IF(AND(BE6&lt;&gt;"",BF6&lt;&gt;""),IF(AND(BE6=2,BF6=1),3,0),0)+IF(AND(BE7&lt;&gt;"",BF7&lt;&gt;""),IF(AND(BE7=0,BF7=3),3,0),0)+IF(AND(BE8&lt;&gt;"",BF8&lt;&gt;""),IF(AND(BE8=4,BF8=0),3,0),0)+IF(AND(BE9&lt;&gt;"",BF9&lt;&gt;""),IF(AND(BE9=2,BF9=2),3,0),0)</f>
        <v>0</v>
      </c>
      <c r="Y18" s="133"/>
      <c r="Z18" s="133"/>
      <c r="AA18" s="140" t="n">
        <f aca="false">IF(AND(BE4&lt;&gt;"",BF4&lt;&gt;""),IF(AND(BE4=2,BF4=0),3,0),0)+IF(AND(BE5&lt;&gt;"",BF5&lt;&gt;""),IF(AND(BE5=1,BF5=0),3,0),0)+IF(AND(BE6&lt;&gt;"",BF6&lt;&gt;""),IF(AND(BE6=2,BF6=0),3,0),0)+IF(AND(BE7&lt;&gt;"",BF7&lt;&gt;""),IF(AND(BE7=0,BF7=1),3,0),0)+IF(AND(BE8&lt;&gt;"",BF8&lt;&gt;""),IF(AND(BE8=3,BF8=0),3,0),0)+IF(AND(BE9&lt;&gt;"",BF9&lt;&gt;""),IF(AND(BE9=1,BF9=1),3,0),0)</f>
        <v>0</v>
      </c>
      <c r="AB18" s="133"/>
      <c r="AC18" s="133"/>
      <c r="AD18" s="141" t="n">
        <f aca="false">IF(AND(BE4&lt;&gt;"",BF4&lt;&gt;""),IF(AND(BE4=1,BF4=0),3,0),0)+IF(AND(BE5&lt;&gt;"",BF5&lt;&gt;""),IF(AND(BE5=2,BF5=0),3,0),0)+IF(AND(BE6&lt;&gt;"",BF6&lt;&gt;""),IF(AND(BE6=2,BF6=1),3,0),0)+IF(AND(BE7&lt;&gt;"",BF7&lt;&gt;""),IF(AND(BE7=0,BF7=1),3,0),0)+IF(AND(BE8&lt;&gt;"",BF8&lt;&gt;""),IF(AND(BE8=3,BF8=1),3,0),0)+IF(AND(BE9&lt;&gt;"",BF9&lt;&gt;""),IF(AND(BE9=1,BF9=1),3,0),0)</f>
        <v>0</v>
      </c>
      <c r="AE18" s="133"/>
      <c r="AF18" s="133"/>
      <c r="AG18" s="142" t="n">
        <f aca="false">IF(AND(BE4&lt;&gt;"",BF4&lt;&gt;""),IF(AND(BE4=2,BF4=1),3,0),0)+IF(AND(BE5&lt;&gt;"",BF5&lt;&gt;""),IF(AND(BE5=1,BF5=1),3,0),0)+IF(AND(BE6&lt;&gt;"",BF6&lt;&gt;""),IF(AND(BE6=3,BF6=0),3,0),0)+IF(AND(BE7&lt;&gt;"",BF7&lt;&gt;""),IF(AND(BE7=1,BF7=2),3,0),0)+IF(AND(BE8&lt;&gt;"",BF8&lt;&gt;""),IF(AND(BE8=2,BF8=0),3,0),0)+IF(AND(BE9&lt;&gt;"",BF9&lt;&gt;""),IF(AND(BE9=2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2,BF4=0),3,0),0)+IF(AND(BE5&lt;&gt;"",BF5&lt;&gt;""),IF(AND(BE5=1,BF5=1),3,0),0)+IF(AND(BE6&lt;&gt;"",BF6&lt;&gt;""),IF(AND(BE6=2,BF6=1),3,0),0)+IF(AND(BE7&lt;&gt;"",BF7&lt;&gt;""),IF(AND(BE7=1,BF7=2),3,0),0)+IF(AND(BE8&lt;&gt;"",BF8&lt;&gt;""),IF(AND(BE8=3,BF8=0),3,0),0)+IF(AND(BE9&lt;&gt;"",BF9&lt;&gt;""),IF(AND(BE9=1,BF9=1),3,0),0)</f>
        <v>0</v>
      </c>
      <c r="AN18" s="133"/>
      <c r="AO18" s="133"/>
      <c r="AP18" s="145" t="n">
        <f aca="false">IF(AND(BE4&lt;&gt;"",BF4&lt;&gt;""),IF(AND(BE4=2,BF4=0),3,0),0)+IF(AND(BE5&lt;&gt;"",BF5&lt;&gt;""),IF(AND(BE5=0,BF5=0),3,0),0)+IF(AND(BE6&lt;&gt;"",BF6&lt;&gt;""),IF(AND(BE6=3,BF6=0),3,0),0)+IF(AND(BE7&lt;&gt;"",BF7&lt;&gt;""),IF(AND(BE7=0,BF7=1),3,0),0)+IF(AND(BE8&lt;&gt;"",BF8&lt;&gt;""),IF(AND(BE8=3,BF8=1),3,0),0)+IF(AND(BE9&lt;&gt;"",BF9&lt;&gt;""),IF(AND(BE9=4,BF9=0),3,0),0)</f>
        <v>0</v>
      </c>
      <c r="AQ18" s="133"/>
      <c r="AR18" s="133"/>
      <c r="AS18" s="146" t="n">
        <f aca="false">IF(AND(BE4&lt;&gt;"",BF4&lt;&gt;""),IF(AND(BE4=1,BF4=1),3,0),0)+IF(AND(BE5&lt;&gt;"",BF5&lt;&gt;""),IF(AND(BE5=0,BF5=0),3,0),0)+IF(AND(BE6&lt;&gt;"",BF6&lt;&gt;""),IF(AND(BE6=2,BF6=0),3,0),0)+IF(AND(BE7&lt;&gt;"",BF7&lt;&gt;""),IF(AND(BE7=0,BF7=1),3,0),0)+IF(AND(BE8&lt;&gt;"",BF8&lt;&gt;""),IF(AND(BE8=2,BF8=0),3,0),0)+IF(AND(BE9&lt;&gt;"",BF9&lt;&gt;""),IF(AND(BE9=1,BF9=0),3,0),0)</f>
        <v>0</v>
      </c>
      <c r="AT18" s="133"/>
      <c r="AU18" s="133"/>
      <c r="AV18" s="147" t="n">
        <f aca="false">IF(AND(BE4&lt;&gt;"",BF4&lt;&gt;""),IF(AND(BE4=2,BF4=0),3,0),0)+IF(AND(BE5&lt;&gt;"",BF5&lt;&gt;""),IF(AND(BE5=1,BF5=0),3,0),0)+IF(AND(BE6&lt;&gt;"",BF6&lt;&gt;""),IF(AND(BE6=2,BF6=1),3,0),0)+IF(AND(BE7&lt;&gt;"",BF7&lt;&gt;""),IF(AND(BE7=0,BF7=1),3,0),0)+IF(AND(BE8&lt;&gt;"",BF8&lt;&gt;""),IF(AND(BE8=3,BF8=0),3,0),0)+IF(AND(BE9&lt;&gt;"",BF9&lt;&gt;""),IF(AND(BE9=1,BF9=1),3,0),0)</f>
        <v>0</v>
      </c>
      <c r="AW18" s="133"/>
      <c r="AX18" s="133"/>
      <c r="AY18" s="148" t="n">
        <f aca="false">IF(AND(BE4&lt;&gt;"",BF4&lt;&gt;""),IF(AND(BE4=1,BF4=1),3,0),0)+IF(AND(BE5&lt;&gt;"",BF5&lt;&gt;""),IF(AND(BE5=0,BF5=0),3,0),0)+IF(AND(BE6&lt;&gt;"",BF6&lt;&gt;""),IF(AND(BE6=2,BF6=1),3,0),0)+IF(AND(BE7&lt;&gt;"",BF7&lt;&gt;""),IF(AND(BE7=2,BF7=1),3,0),0)+IF(AND(BE8&lt;&gt;"",BF8&lt;&gt;""),IF(AND(BE8=3,BF8=0),3,0),0)+IF(AND(BE9&lt;&gt;"",BF9&lt;&gt;""),IF(AND(BE9=0,BF9=0),3,0),0)</f>
        <v>0</v>
      </c>
      <c r="AZ18" s="133"/>
      <c r="BA18" s="133"/>
      <c r="BB18" s="149" t="n">
        <f aca="false">IF(AND(BE4&lt;&gt;"",BF4&lt;&gt;""),IF(AND(BE4=2,BF4=0),3,0),0)+IF(AND(BE5&lt;&gt;"",BF5&lt;&gt;""),IF(AND(BE5=1,BF5=0),3,0),0)+IF(AND(BE6&lt;&gt;"",BF6&lt;&gt;""),IF(AND(BE6=2,BF6=0),3,0),0)+IF(AND(BE7&lt;&gt;"",BF7&lt;&gt;""),IF(AND(BE7=0,BF7=1),3,0),0)+IF(AND(BE8&lt;&gt;"",BF8&lt;&gt;""),IF(AND(BE8=3,BF8=0)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IF(C12&lt;&gt;"",IF(C12="Bélgica",4,0),0)+IF(C13&lt;&gt;"",IF(C13="Egipto",2,0),0)+0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IF(C12&lt;&gt;"",IF(C12="Bélgica",4,0),0)+IF(C13&lt;&gt;"",IF(C13="Egipto",2,0),0)+IF(C14&lt;&gt;"",IF(C14="Irán",1,0),0)</f>
        <v>0</v>
      </c>
      <c r="M19" s="152"/>
      <c r="N19" s="152"/>
      <c r="O19" s="155" t="n">
        <f aca="false">IF(C12&lt;&gt;"",IF(C12="Bélgica",4,0),0)+IF(C13&lt;&gt;"",IF(C13="Egipto",2,0),0)+IF(C14&lt;&gt;"",IF(C14="Irán",1,0),0)</f>
        <v>0</v>
      </c>
      <c r="P19" s="152"/>
      <c r="Q19" s="152"/>
      <c r="R19" s="156" t="n">
        <f aca="false">IF(C12&lt;&gt;"",IF(C12="Egipto",4,0),0)+IF(C13&lt;&gt;"",IF(C13="Bélgica",2,0),0)+IF(C14&lt;&gt;"",IF(C14="Irán",1,0),0)</f>
        <v>0</v>
      </c>
      <c r="S19" s="152"/>
      <c r="T19" s="152"/>
      <c r="U19" s="157" t="n">
        <f aca="false">IF(C12&lt;&gt;"",IF(C12="Bélgica",4,0),0)+IF(C13&lt;&gt;"",IF(C13="Egipto",2,0),0)+IF(C14&lt;&gt;"",IF(C14="Irán",1,0),0)</f>
        <v>0</v>
      </c>
      <c r="V19" s="152"/>
      <c r="W19" s="152"/>
      <c r="X19" s="158" t="n">
        <f aca="false">IF(C12&lt;&gt;"",IF(C12="Bélgica",4,0),0)+IF(C13&lt;&gt;"",IF(C13="Egipto",2,0),0)+IF(C14&lt;&gt;"",IF(C14="Irán",1,0),0)</f>
        <v>0</v>
      </c>
      <c r="Y19" s="152"/>
      <c r="Z19" s="152"/>
      <c r="AA19" s="159" t="n">
        <f aca="false">IF(C12&lt;&gt;"",IF(C12="Bélgica",4,0),0)+IF(C13&lt;&gt;"",IF(C13="Egipto",2,0),0)+IF(C14&lt;&gt;"",IF(C14="Irán",1,0),0)</f>
        <v>0</v>
      </c>
      <c r="AB19" s="152"/>
      <c r="AC19" s="152"/>
      <c r="AD19" s="160" t="n">
        <f aca="false">IF(C12&lt;&gt;"",IF(C12="BÉLGICA",4,0),0)+IF(C13&lt;&gt;"",IF(C13="IRÁN",2,0),0)+IF(C14&lt;&gt;"",IF(C14="EGIPTO",1,0),0)</f>
        <v>0</v>
      </c>
      <c r="AE19" s="152"/>
      <c r="AF19" s="152"/>
      <c r="AG19" s="161" t="n">
        <f aca="false">IF(C12&lt;&gt;"",IF(C12="BÉLGICA",4,0),0)+IF(C13&lt;&gt;"",IF(C13="EGIPTO",2,0),0)+IF(C14&lt;&gt;"",IF(C14="IRÁN",1,0),0)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IF(C12&lt;&gt;"",IF(C12="Belgica",4,0),0)+IF(C13&lt;&gt;"",IF(C13="Egipo",2,0),0)+IF(C14&lt;&gt;"",IF(C14="Iran",1,0),0)</f>
        <v>0</v>
      </c>
      <c r="AN19" s="152"/>
      <c r="AO19" s="152"/>
      <c r="AP19" s="164" t="n">
        <f aca="false">IF(C12&lt;&gt;"",IF(C12="Bélgica",4,0),0)+IF(C13&lt;&gt;"",IF(C13="Egipto",2,0),0)+IF(C14&lt;&gt;"",IF(C14="Nueva Zelanda",1,0),0)</f>
        <v>0</v>
      </c>
      <c r="AQ19" s="152"/>
      <c r="AR19" s="152"/>
      <c r="AS19" s="165" t="n">
        <f aca="false">IF(C12&lt;&gt;"",IF(C12="Belgica",4,0),0)+IF(C13&lt;&gt;"",IF(C13="Egipto",2,0),0)+IF(C14&lt;&gt;"",IF(C14="Nueva Zelanda",1,0),0)</f>
        <v>0</v>
      </c>
      <c r="AT19" s="152"/>
      <c r="AU19" s="152"/>
      <c r="AV19" s="166" t="n">
        <f aca="false">IF(C12&lt;&gt;"",IF(C12="Belgica",4,0),0)+IF(C13&lt;&gt;"",IF(C13="Iran",2,0),0)+IF(C14&lt;&gt;"",IF(C14="Egipto",1,0),0)</f>
        <v>0</v>
      </c>
      <c r="AW19" s="152"/>
      <c r="AX19" s="152"/>
      <c r="AY19" s="167" t="n">
        <f aca="false">IF(C12&lt;&gt;"",IF(C12="Bélgica",4,0),0)+IF(C13&lt;&gt;"",IF(C13="Egipto",2,0),0)+IF(C14&lt;&gt;"",IF(C14="Iran",1,0),0)</f>
        <v>0</v>
      </c>
      <c r="AZ19" s="152"/>
      <c r="BA19" s="152"/>
      <c r="BB19" s="168" t="n">
        <f aca="false">IF(C12&lt;&gt;"",IF(C12="Bélgica",4,0),0)+IF(C13&lt;&gt;"",IF(C13="Irán",2,0),0)+IF(C14&lt;&gt;"",IF(C14="Egipto",1,0),0)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150</v>
      </c>
      <c r="C4" s="80" t="s">
        <v>35</v>
      </c>
      <c r="D4" s="81" t="s">
        <v>151</v>
      </c>
      <c r="E4" s="80"/>
      <c r="F4" s="82" t="n">
        <v>6</v>
      </c>
      <c r="G4" s="82" t="n">
        <v>1</v>
      </c>
      <c r="H4" s="82" t="s">
        <v>37</v>
      </c>
      <c r="I4" s="82"/>
      <c r="J4" s="82"/>
      <c r="K4" s="82"/>
      <c r="L4" s="82" t="n">
        <v>5</v>
      </c>
      <c r="M4" s="82" t="n">
        <v>0</v>
      </c>
      <c r="N4" s="82" t="s">
        <v>37</v>
      </c>
      <c r="O4" s="82" t="n">
        <v>3</v>
      </c>
      <c r="P4" s="82" t="n">
        <v>0</v>
      </c>
      <c r="Q4" s="82" t="s">
        <v>37</v>
      </c>
      <c r="R4" s="82" t="n">
        <v>5</v>
      </c>
      <c r="S4" s="82" t="n">
        <v>0</v>
      </c>
      <c r="T4" s="82" t="s">
        <v>37</v>
      </c>
      <c r="U4" s="82" t="n">
        <v>5</v>
      </c>
      <c r="V4" s="82" t="n">
        <v>0</v>
      </c>
      <c r="W4" s="82" t="s">
        <v>37</v>
      </c>
      <c r="X4" s="82" t="n">
        <v>3</v>
      </c>
      <c r="Y4" s="82" t="n">
        <v>0</v>
      </c>
      <c r="Z4" s="82" t="s">
        <v>37</v>
      </c>
      <c r="AA4" s="82" t="n">
        <v>3</v>
      </c>
      <c r="AB4" s="82" t="n">
        <v>0</v>
      </c>
      <c r="AC4" s="82" t="s">
        <v>37</v>
      </c>
      <c r="AD4" s="82" t="n">
        <v>3</v>
      </c>
      <c r="AE4" s="82" t="n">
        <v>0</v>
      </c>
      <c r="AF4" s="82" t="s">
        <v>37</v>
      </c>
      <c r="AG4" s="82" t="n">
        <v>4</v>
      </c>
      <c r="AH4" s="82" t="n">
        <v>1</v>
      </c>
      <c r="AI4" s="82" t="s">
        <v>37</v>
      </c>
      <c r="AJ4" s="82" t="n">
        <v>2</v>
      </c>
      <c r="AK4" s="82" t="n">
        <v>1</v>
      </c>
      <c r="AL4" s="82" t="s">
        <v>37</v>
      </c>
      <c r="AM4" s="82" t="n">
        <v>3</v>
      </c>
      <c r="AN4" s="82" t="n">
        <v>0</v>
      </c>
      <c r="AO4" s="82" t="s">
        <v>37</v>
      </c>
      <c r="AP4" s="82" t="n">
        <v>3</v>
      </c>
      <c r="AQ4" s="82" t="n">
        <v>0</v>
      </c>
      <c r="AR4" s="82" t="s">
        <v>37</v>
      </c>
      <c r="AS4" s="82" t="n">
        <v>3</v>
      </c>
      <c r="AT4" s="82" t="n">
        <v>0</v>
      </c>
      <c r="AU4" s="82" t="s">
        <v>37</v>
      </c>
      <c r="AV4" s="82" t="n">
        <v>4</v>
      </c>
      <c r="AW4" s="82" t="n">
        <v>0</v>
      </c>
      <c r="AX4" s="82" t="s">
        <v>37</v>
      </c>
      <c r="AY4" s="82" t="n">
        <v>4</v>
      </c>
      <c r="AZ4" s="82" t="n">
        <v>0</v>
      </c>
      <c r="BA4" s="82" t="s">
        <v>37</v>
      </c>
      <c r="BB4" s="82" t="n">
        <v>5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152</v>
      </c>
      <c r="C5" s="84" t="s">
        <v>35</v>
      </c>
      <c r="D5" s="85" t="s">
        <v>153</v>
      </c>
      <c r="E5" s="84"/>
      <c r="F5" s="86" t="n">
        <v>0</v>
      </c>
      <c r="G5" s="86" t="n">
        <v>1</v>
      </c>
      <c r="H5" s="86" t="s">
        <v>41</v>
      </c>
      <c r="I5" s="86"/>
      <c r="J5" s="86"/>
      <c r="K5" s="86"/>
      <c r="L5" s="86" t="n">
        <v>0</v>
      </c>
      <c r="M5" s="86" t="n">
        <v>3</v>
      </c>
      <c r="N5" s="86" t="s">
        <v>41</v>
      </c>
      <c r="O5" s="86" t="n">
        <v>0</v>
      </c>
      <c r="P5" s="86" t="n">
        <v>1</v>
      </c>
      <c r="Q5" s="86" t="s">
        <v>41</v>
      </c>
      <c r="R5" s="86" t="n">
        <v>1</v>
      </c>
      <c r="S5" s="86" t="n">
        <v>3</v>
      </c>
      <c r="T5" s="86" t="s">
        <v>41</v>
      </c>
      <c r="U5" s="86" t="n">
        <v>1</v>
      </c>
      <c r="V5" s="86" t="n">
        <v>2</v>
      </c>
      <c r="W5" s="86" t="s">
        <v>41</v>
      </c>
      <c r="X5" s="86" t="n">
        <v>0</v>
      </c>
      <c r="Y5" s="86" t="n">
        <v>2</v>
      </c>
      <c r="Z5" s="86" t="s">
        <v>41</v>
      </c>
      <c r="AA5" s="86" t="n">
        <v>0</v>
      </c>
      <c r="AB5" s="86" t="n">
        <v>2</v>
      </c>
      <c r="AC5" s="86" t="s">
        <v>41</v>
      </c>
      <c r="AD5" s="86" t="n">
        <v>0</v>
      </c>
      <c r="AE5" s="86" t="n">
        <v>1</v>
      </c>
      <c r="AF5" s="86" t="s">
        <v>41</v>
      </c>
      <c r="AG5" s="86" t="n">
        <v>1</v>
      </c>
      <c r="AH5" s="86" t="n">
        <v>2</v>
      </c>
      <c r="AI5" s="86" t="s">
        <v>38</v>
      </c>
      <c r="AJ5" s="86" t="n">
        <v>1</v>
      </c>
      <c r="AK5" s="86" t="n">
        <v>1</v>
      </c>
      <c r="AL5" s="86" t="s">
        <v>41</v>
      </c>
      <c r="AM5" s="86" t="n">
        <v>1</v>
      </c>
      <c r="AN5" s="86" t="n">
        <v>2</v>
      </c>
      <c r="AO5" s="86" t="s">
        <v>41</v>
      </c>
      <c r="AP5" s="86" t="n">
        <v>0</v>
      </c>
      <c r="AQ5" s="86" t="n">
        <v>2</v>
      </c>
      <c r="AR5" s="86" t="s">
        <v>41</v>
      </c>
      <c r="AS5" s="86" t="n">
        <v>0</v>
      </c>
      <c r="AT5" s="86" t="n">
        <v>2</v>
      </c>
      <c r="AU5" s="86" t="s">
        <v>41</v>
      </c>
      <c r="AV5" s="86" t="n">
        <v>0</v>
      </c>
      <c r="AW5" s="86" t="n">
        <v>2</v>
      </c>
      <c r="AX5" s="86" t="s">
        <v>41</v>
      </c>
      <c r="AY5" s="86" t="n">
        <v>1</v>
      </c>
      <c r="AZ5" s="86" t="n">
        <v>2</v>
      </c>
      <c r="BA5" s="86" t="s">
        <v>41</v>
      </c>
      <c r="BB5" s="86" t="n">
        <v>0</v>
      </c>
      <c r="BC5" s="86" t="n">
        <v>1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150</v>
      </c>
      <c r="C6" s="80" t="s">
        <v>35</v>
      </c>
      <c r="D6" s="81" t="s">
        <v>152</v>
      </c>
      <c r="E6" s="80"/>
      <c r="F6" s="82" t="n">
        <v>3</v>
      </c>
      <c r="G6" s="82" t="n">
        <v>0</v>
      </c>
      <c r="H6" s="82" t="s">
        <v>37</v>
      </c>
      <c r="I6" s="82"/>
      <c r="J6" s="82"/>
      <c r="K6" s="82"/>
      <c r="L6" s="82" t="n">
        <v>4</v>
      </c>
      <c r="M6" s="82" t="n">
        <v>0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3</v>
      </c>
      <c r="S6" s="82" t="n">
        <v>0</v>
      </c>
      <c r="T6" s="82" t="s">
        <v>37</v>
      </c>
      <c r="U6" s="82" t="n">
        <v>2</v>
      </c>
      <c r="V6" s="82" t="n">
        <v>0</v>
      </c>
      <c r="W6" s="82" t="s">
        <v>37</v>
      </c>
      <c r="X6" s="82" t="n">
        <v>4</v>
      </c>
      <c r="Y6" s="82" t="n">
        <v>0</v>
      </c>
      <c r="Z6" s="82" t="s">
        <v>37</v>
      </c>
      <c r="AA6" s="82" t="n">
        <v>2</v>
      </c>
      <c r="AB6" s="82" t="n">
        <v>0</v>
      </c>
      <c r="AC6" s="82" t="s">
        <v>37</v>
      </c>
      <c r="AD6" s="82" t="n">
        <v>2</v>
      </c>
      <c r="AE6" s="82" t="n">
        <v>1</v>
      </c>
      <c r="AF6" s="82" t="s">
        <v>37</v>
      </c>
      <c r="AG6" s="82" t="n">
        <v>2</v>
      </c>
      <c r="AH6" s="82" t="n">
        <v>1</v>
      </c>
      <c r="AI6" s="82" t="s">
        <v>37</v>
      </c>
      <c r="AJ6" s="82" t="n">
        <v>3</v>
      </c>
      <c r="AK6" s="82" t="n">
        <v>0</v>
      </c>
      <c r="AL6" s="82" t="s">
        <v>37</v>
      </c>
      <c r="AM6" s="82" t="n">
        <v>2</v>
      </c>
      <c r="AN6" s="82" t="n">
        <v>0</v>
      </c>
      <c r="AO6" s="82" t="s">
        <v>37</v>
      </c>
      <c r="AP6" s="82" t="n">
        <v>5</v>
      </c>
      <c r="AQ6" s="82" t="n">
        <v>0</v>
      </c>
      <c r="AR6" s="82" t="s">
        <v>37</v>
      </c>
      <c r="AS6" s="82" t="n">
        <v>4</v>
      </c>
      <c r="AT6" s="82" t="n">
        <v>0</v>
      </c>
      <c r="AU6" s="82" t="s">
        <v>37</v>
      </c>
      <c r="AV6" s="82" t="n">
        <v>3</v>
      </c>
      <c r="AW6" s="82" t="n">
        <v>1</v>
      </c>
      <c r="AX6" s="82" t="s">
        <v>37</v>
      </c>
      <c r="AY6" s="82" t="n">
        <v>3</v>
      </c>
      <c r="AZ6" s="82" t="n">
        <v>0</v>
      </c>
      <c r="BA6" s="82" t="s">
        <v>37</v>
      </c>
      <c r="BB6" s="82" t="n">
        <v>3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153</v>
      </c>
      <c r="C7" s="84" t="s">
        <v>35</v>
      </c>
      <c r="D7" s="85" t="s">
        <v>151</v>
      </c>
      <c r="E7" s="84"/>
      <c r="F7" s="86" t="n">
        <v>2</v>
      </c>
      <c r="G7" s="86" t="n">
        <v>1</v>
      </c>
      <c r="H7" s="86" t="s">
        <v>37</v>
      </c>
      <c r="I7" s="86"/>
      <c r="J7" s="86"/>
      <c r="K7" s="86"/>
      <c r="L7" s="86" t="n">
        <v>4</v>
      </c>
      <c r="M7" s="86" t="n">
        <v>1</v>
      </c>
      <c r="N7" s="86" t="s">
        <v>37</v>
      </c>
      <c r="O7" s="86" t="n">
        <v>2</v>
      </c>
      <c r="P7" s="86" t="n">
        <v>0</v>
      </c>
      <c r="Q7" s="86" t="s">
        <v>37</v>
      </c>
      <c r="R7" s="86" t="n">
        <v>2</v>
      </c>
      <c r="S7" s="86" t="n">
        <v>1</v>
      </c>
      <c r="T7" s="86" t="s">
        <v>37</v>
      </c>
      <c r="U7" s="86" t="n">
        <v>4</v>
      </c>
      <c r="V7" s="86" t="n">
        <v>1</v>
      </c>
      <c r="W7" s="86" t="s">
        <v>37</v>
      </c>
      <c r="X7" s="86" t="n">
        <v>1</v>
      </c>
      <c r="Y7" s="86" t="n">
        <v>0</v>
      </c>
      <c r="Z7" s="86" t="s">
        <v>37</v>
      </c>
      <c r="AA7" s="86" t="n">
        <v>2</v>
      </c>
      <c r="AB7" s="86" t="n">
        <v>0</v>
      </c>
      <c r="AC7" s="86" t="s">
        <v>37</v>
      </c>
      <c r="AD7" s="86" t="n">
        <v>2</v>
      </c>
      <c r="AE7" s="86" t="n">
        <v>1</v>
      </c>
      <c r="AF7" s="86" t="s">
        <v>37</v>
      </c>
      <c r="AG7" s="86" t="n">
        <v>3</v>
      </c>
      <c r="AH7" s="86" t="n">
        <v>1</v>
      </c>
      <c r="AI7" s="86" t="s">
        <v>37</v>
      </c>
      <c r="AJ7" s="86" t="n">
        <v>2</v>
      </c>
      <c r="AK7" s="86" t="n">
        <v>1</v>
      </c>
      <c r="AL7" s="86" t="s">
        <v>37</v>
      </c>
      <c r="AM7" s="86" t="n">
        <v>2</v>
      </c>
      <c r="AN7" s="86" t="n">
        <v>1</v>
      </c>
      <c r="AO7" s="86" t="s">
        <v>37</v>
      </c>
      <c r="AP7" s="86" t="n">
        <v>2</v>
      </c>
      <c r="AQ7" s="86" t="n">
        <v>1</v>
      </c>
      <c r="AR7" s="86" t="s">
        <v>37</v>
      </c>
      <c r="AS7" s="86" t="n">
        <v>2</v>
      </c>
      <c r="AT7" s="86" t="n">
        <v>0</v>
      </c>
      <c r="AU7" s="86" t="s">
        <v>37</v>
      </c>
      <c r="AV7" s="86" t="n">
        <v>1</v>
      </c>
      <c r="AW7" s="86" t="n">
        <v>0</v>
      </c>
      <c r="AX7" s="86" t="s">
        <v>37</v>
      </c>
      <c r="AY7" s="86" t="n">
        <v>2</v>
      </c>
      <c r="AZ7" s="86" t="n">
        <v>0</v>
      </c>
      <c r="BA7" s="86" t="s">
        <v>37</v>
      </c>
      <c r="BB7" s="86" t="n">
        <v>4</v>
      </c>
      <c r="BC7" s="86" t="n">
        <v>0</v>
      </c>
      <c r="BD7" s="86" t="s">
        <v>37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153</v>
      </c>
      <c r="C8" s="80" t="s">
        <v>35</v>
      </c>
      <c r="D8" s="81" t="s">
        <v>150</v>
      </c>
      <c r="E8" s="80"/>
      <c r="F8" s="82" t="n">
        <v>1</v>
      </c>
      <c r="G8" s="82" t="n">
        <v>4</v>
      </c>
      <c r="H8" s="82" t="s">
        <v>41</v>
      </c>
      <c r="I8" s="82"/>
      <c r="J8" s="82"/>
      <c r="K8" s="82"/>
      <c r="L8" s="82" t="n">
        <v>1</v>
      </c>
      <c r="M8" s="82" t="n">
        <v>3</v>
      </c>
      <c r="N8" s="82" t="s">
        <v>41</v>
      </c>
      <c r="O8" s="82" t="n">
        <v>0</v>
      </c>
      <c r="P8" s="82" t="n">
        <v>1</v>
      </c>
      <c r="Q8" s="82" t="s">
        <v>41</v>
      </c>
      <c r="R8" s="82" t="n">
        <v>2</v>
      </c>
      <c r="S8" s="82" t="n">
        <v>4</v>
      </c>
      <c r="T8" s="82" t="s">
        <v>41</v>
      </c>
      <c r="U8" s="82" t="n">
        <v>1</v>
      </c>
      <c r="V8" s="82" t="n">
        <v>2</v>
      </c>
      <c r="W8" s="82" t="s">
        <v>38</v>
      </c>
      <c r="X8" s="82" t="n">
        <v>1</v>
      </c>
      <c r="Y8" s="82" t="n">
        <v>2</v>
      </c>
      <c r="Z8" s="82" t="s">
        <v>38</v>
      </c>
      <c r="AA8" s="82" t="n">
        <v>1</v>
      </c>
      <c r="AB8" s="82" t="n">
        <v>1</v>
      </c>
      <c r="AC8" s="82" t="s">
        <v>38</v>
      </c>
      <c r="AD8" s="82" t="n">
        <v>0</v>
      </c>
      <c r="AE8" s="82" t="n">
        <v>0</v>
      </c>
      <c r="AF8" s="82" t="s">
        <v>41</v>
      </c>
      <c r="AG8" s="82" t="n">
        <v>2</v>
      </c>
      <c r="AH8" s="82" t="n">
        <v>2</v>
      </c>
      <c r="AI8" s="82" t="s">
        <v>41</v>
      </c>
      <c r="AJ8" s="82" t="n">
        <v>1</v>
      </c>
      <c r="AK8" s="82" t="n">
        <v>3</v>
      </c>
      <c r="AL8" s="82" t="s">
        <v>38</v>
      </c>
      <c r="AM8" s="82" t="n">
        <v>1</v>
      </c>
      <c r="AN8" s="82" t="n">
        <v>1</v>
      </c>
      <c r="AO8" s="82" t="s">
        <v>38</v>
      </c>
      <c r="AP8" s="82" t="n">
        <v>1</v>
      </c>
      <c r="AQ8" s="82" t="n">
        <v>1</v>
      </c>
      <c r="AR8" s="82" t="s">
        <v>41</v>
      </c>
      <c r="AS8" s="82" t="n">
        <v>1</v>
      </c>
      <c r="AT8" s="82" t="n">
        <v>3</v>
      </c>
      <c r="AU8" s="82" t="s">
        <v>41</v>
      </c>
      <c r="AV8" s="82" t="n">
        <v>1</v>
      </c>
      <c r="AW8" s="82" t="n">
        <v>2</v>
      </c>
      <c r="AX8" s="82" t="s">
        <v>41</v>
      </c>
      <c r="AY8" s="82" t="n">
        <v>1</v>
      </c>
      <c r="AZ8" s="82" t="n">
        <v>1</v>
      </c>
      <c r="BA8" s="82" t="s">
        <v>41</v>
      </c>
      <c r="BB8" s="82" t="n">
        <v>1</v>
      </c>
      <c r="BC8" s="82" t="n">
        <v>2</v>
      </c>
      <c r="BD8" s="82" t="s">
        <v>41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151</v>
      </c>
      <c r="C9" s="84" t="s">
        <v>35</v>
      </c>
      <c r="D9" s="85" t="s">
        <v>152</v>
      </c>
      <c r="E9" s="84"/>
      <c r="F9" s="86" t="n">
        <v>0</v>
      </c>
      <c r="G9" s="86" t="n">
        <v>0</v>
      </c>
      <c r="H9" s="86" t="s">
        <v>38</v>
      </c>
      <c r="I9" s="86"/>
      <c r="J9" s="86"/>
      <c r="K9" s="86"/>
      <c r="L9" s="86" t="n">
        <v>1</v>
      </c>
      <c r="M9" s="86" t="n">
        <v>2</v>
      </c>
      <c r="N9" s="86" t="s">
        <v>38</v>
      </c>
      <c r="O9" s="86" t="n">
        <v>1</v>
      </c>
      <c r="P9" s="86" t="n">
        <v>1</v>
      </c>
      <c r="Q9" s="86" t="s">
        <v>38</v>
      </c>
      <c r="R9" s="86" t="n">
        <v>1</v>
      </c>
      <c r="S9" s="86" t="n">
        <v>1</v>
      </c>
      <c r="T9" s="86" t="s">
        <v>38</v>
      </c>
      <c r="U9" s="86" t="n">
        <v>1</v>
      </c>
      <c r="V9" s="86" t="n">
        <v>3</v>
      </c>
      <c r="W9" s="86" t="s">
        <v>41</v>
      </c>
      <c r="X9" s="86" t="n">
        <v>1</v>
      </c>
      <c r="Y9" s="86" t="n">
        <v>0</v>
      </c>
      <c r="Z9" s="86" t="s">
        <v>38</v>
      </c>
      <c r="AA9" s="86" t="n">
        <v>1</v>
      </c>
      <c r="AB9" s="86" t="n">
        <v>1</v>
      </c>
      <c r="AC9" s="86" t="s">
        <v>38</v>
      </c>
      <c r="AD9" s="86" t="n">
        <v>1</v>
      </c>
      <c r="AE9" s="86" t="n">
        <v>0</v>
      </c>
      <c r="AF9" s="86" t="s">
        <v>38</v>
      </c>
      <c r="AG9" s="86" t="n">
        <v>1</v>
      </c>
      <c r="AH9" s="86" t="n">
        <v>2</v>
      </c>
      <c r="AI9" s="86" t="s">
        <v>38</v>
      </c>
      <c r="AJ9" s="86" t="n">
        <v>2</v>
      </c>
      <c r="AK9" s="86" t="n">
        <v>0</v>
      </c>
      <c r="AL9" s="86" t="s">
        <v>37</v>
      </c>
      <c r="AM9" s="86" t="n">
        <v>1</v>
      </c>
      <c r="AN9" s="86" t="n">
        <v>1</v>
      </c>
      <c r="AO9" s="86" t="s">
        <v>38</v>
      </c>
      <c r="AP9" s="86" t="n">
        <v>1</v>
      </c>
      <c r="AQ9" s="86" t="n">
        <v>0</v>
      </c>
      <c r="AR9" s="86" t="s">
        <v>37</v>
      </c>
      <c r="AS9" s="86" t="n">
        <v>1</v>
      </c>
      <c r="AT9" s="86" t="n">
        <v>1</v>
      </c>
      <c r="AU9" s="86" t="s">
        <v>38</v>
      </c>
      <c r="AV9" s="86" t="n">
        <v>1</v>
      </c>
      <c r="AW9" s="86" t="n">
        <v>1</v>
      </c>
      <c r="AX9" s="86" t="s">
        <v>38</v>
      </c>
      <c r="AY9" s="86" t="n">
        <v>1</v>
      </c>
      <c r="AZ9" s="86" t="n">
        <v>1</v>
      </c>
      <c r="BA9" s="86" t="s">
        <v>38</v>
      </c>
      <c r="BB9" s="86" t="n">
        <v>0</v>
      </c>
      <c r="BC9" s="86" t="n">
        <v>2</v>
      </c>
      <c r="BD9" s="86" t="s">
        <v>41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150</v>
      </c>
      <c r="G12" s="90"/>
      <c r="H12" s="90"/>
      <c r="I12" s="91"/>
      <c r="J12" s="91"/>
      <c r="K12" s="91"/>
      <c r="L12" s="92" t="s">
        <v>150</v>
      </c>
      <c r="M12" s="92"/>
      <c r="N12" s="92"/>
      <c r="O12" s="93" t="s">
        <v>150</v>
      </c>
      <c r="P12" s="93"/>
      <c r="Q12" s="93"/>
      <c r="R12" s="94" t="s">
        <v>150</v>
      </c>
      <c r="S12" s="94"/>
      <c r="T12" s="94"/>
      <c r="U12" s="95" t="s">
        <v>150</v>
      </c>
      <c r="V12" s="95"/>
      <c r="W12" s="95"/>
      <c r="X12" s="96" t="s">
        <v>150</v>
      </c>
      <c r="Y12" s="96"/>
      <c r="Z12" s="96"/>
      <c r="AA12" s="97" t="s">
        <v>150</v>
      </c>
      <c r="AB12" s="97"/>
      <c r="AC12" s="97"/>
      <c r="AD12" s="98" t="s">
        <v>154</v>
      </c>
      <c r="AE12" s="98"/>
      <c r="AF12" s="98"/>
      <c r="AG12" s="99" t="s">
        <v>154</v>
      </c>
      <c r="AH12" s="99"/>
      <c r="AI12" s="99"/>
      <c r="AJ12" s="206" t="s">
        <v>154</v>
      </c>
      <c r="AK12" s="206"/>
      <c r="AL12" s="206"/>
      <c r="AM12" s="101" t="s">
        <v>150</v>
      </c>
      <c r="AN12" s="101"/>
      <c r="AO12" s="101"/>
      <c r="AP12" s="102" t="s">
        <v>150</v>
      </c>
      <c r="AQ12" s="102"/>
      <c r="AR12" s="102"/>
      <c r="AS12" s="103" t="s">
        <v>150</v>
      </c>
      <c r="AT12" s="103"/>
      <c r="AU12" s="103"/>
      <c r="AV12" s="104" t="s">
        <v>150</v>
      </c>
      <c r="AW12" s="104"/>
      <c r="AX12" s="104"/>
      <c r="AY12" s="105" t="s">
        <v>150</v>
      </c>
      <c r="AZ12" s="105"/>
      <c r="BA12" s="105"/>
      <c r="BB12" s="106" t="s">
        <v>150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153</v>
      </c>
      <c r="G13" s="90"/>
      <c r="H13" s="90"/>
      <c r="I13" s="91"/>
      <c r="J13" s="91"/>
      <c r="K13" s="91"/>
      <c r="L13" s="92" t="s">
        <v>153</v>
      </c>
      <c r="M13" s="92"/>
      <c r="N13" s="92"/>
      <c r="O13" s="93" t="s">
        <v>153</v>
      </c>
      <c r="P13" s="93"/>
      <c r="Q13" s="93"/>
      <c r="R13" s="94" t="s">
        <v>153</v>
      </c>
      <c r="S13" s="94"/>
      <c r="T13" s="94"/>
      <c r="U13" s="95" t="s">
        <v>153</v>
      </c>
      <c r="V13" s="95"/>
      <c r="W13" s="95"/>
      <c r="X13" s="96" t="s">
        <v>153</v>
      </c>
      <c r="Y13" s="96"/>
      <c r="Z13" s="96"/>
      <c r="AA13" s="97" t="s">
        <v>153</v>
      </c>
      <c r="AB13" s="97"/>
      <c r="AC13" s="97"/>
      <c r="AD13" s="98" t="s">
        <v>155</v>
      </c>
      <c r="AE13" s="98"/>
      <c r="AF13" s="98"/>
      <c r="AG13" s="99" t="s">
        <v>155</v>
      </c>
      <c r="AH13" s="99"/>
      <c r="AI13" s="99"/>
      <c r="AJ13" s="206" t="s">
        <v>155</v>
      </c>
      <c r="AK13" s="206"/>
      <c r="AL13" s="206"/>
      <c r="AM13" s="101" t="s">
        <v>153</v>
      </c>
      <c r="AN13" s="101"/>
      <c r="AO13" s="101"/>
      <c r="AP13" s="102" t="s">
        <v>153</v>
      </c>
      <c r="AQ13" s="102"/>
      <c r="AR13" s="102"/>
      <c r="AS13" s="103" t="s">
        <v>153</v>
      </c>
      <c r="AT13" s="103"/>
      <c r="AU13" s="103"/>
      <c r="AV13" s="104" t="s">
        <v>156</v>
      </c>
      <c r="AW13" s="104"/>
      <c r="AX13" s="104"/>
      <c r="AY13" s="105" t="s">
        <v>153</v>
      </c>
      <c r="AZ13" s="105"/>
      <c r="BA13" s="105"/>
      <c r="BB13" s="106" t="s">
        <v>153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205"/>
      <c r="G14" s="205"/>
      <c r="H14" s="205"/>
      <c r="I14" s="91"/>
      <c r="J14" s="91"/>
      <c r="K14" s="91"/>
      <c r="L14" s="92" t="s">
        <v>152</v>
      </c>
      <c r="M14" s="92"/>
      <c r="N14" s="92"/>
      <c r="O14" s="93" t="s">
        <v>152</v>
      </c>
      <c r="P14" s="93"/>
      <c r="Q14" s="93"/>
      <c r="R14" s="94" t="s">
        <v>151</v>
      </c>
      <c r="S14" s="94"/>
      <c r="T14" s="94"/>
      <c r="U14" s="95" t="s">
        <v>152</v>
      </c>
      <c r="V14" s="95"/>
      <c r="W14" s="95"/>
      <c r="X14" s="96" t="s">
        <v>151</v>
      </c>
      <c r="Y14" s="96"/>
      <c r="Z14" s="96"/>
      <c r="AA14" s="97" t="s">
        <v>152</v>
      </c>
      <c r="AB14" s="97"/>
      <c r="AC14" s="97"/>
      <c r="AD14" s="98" t="s">
        <v>157</v>
      </c>
      <c r="AE14" s="98"/>
      <c r="AF14" s="98"/>
      <c r="AG14" s="99" t="s">
        <v>158</v>
      </c>
      <c r="AH14" s="99"/>
      <c r="AI14" s="99"/>
      <c r="AJ14" s="206" t="s">
        <v>159</v>
      </c>
      <c r="AK14" s="206"/>
      <c r="AL14" s="206"/>
      <c r="AM14" s="101" t="s">
        <v>160</v>
      </c>
      <c r="AN14" s="101"/>
      <c r="AO14" s="101"/>
      <c r="AP14" s="102" t="s">
        <v>152</v>
      </c>
      <c r="AQ14" s="102"/>
      <c r="AR14" s="102"/>
      <c r="AS14" s="103" t="s">
        <v>161</v>
      </c>
      <c r="AT14" s="103"/>
      <c r="AU14" s="103"/>
      <c r="AV14" s="104" t="s">
        <v>162</v>
      </c>
      <c r="AW14" s="104"/>
      <c r="AX14" s="104"/>
      <c r="AY14" s="105" t="s">
        <v>161</v>
      </c>
      <c r="AZ14" s="105"/>
      <c r="BA14" s="105"/>
      <c r="BB14" s="106" t="s">
        <v>152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2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H17" s="113"/>
      <c r="AI17" s="113"/>
      <c r="AJ17" s="123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1",1,0),0)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X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6,BF4=1),3,0),0)+IF(AND(BE5&lt;&gt;"",BF5&lt;&gt;""),IF(AND(BE5=0,BF5=1),3,0),0)+IF(AND(BE6&lt;&gt;"",BF6&lt;&gt;""),IF(AND(BE6=3,BF6=0),3,0),0)+IF(AND(BE7&lt;&gt;"",BF7&lt;&gt;""),IF(AND(BE7=2,BF7=1),3,0),0)+IF(AND(BE8&lt;&gt;"",BF8&lt;&gt;""),IF(AND(BE8=1,BF8=4),3,0),0)+IF(AND(BE9&lt;&gt;"",BF9&lt;&gt;""),IF(AND(BE9=0,BF9=0)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5,BF4=0),3,0),0)+IF(AND(BE5&lt;&gt;"",BF5&lt;&gt;""),IF(AND(BE5=0,BF5=3),3,0),0)+IF(AND(BE6&lt;&gt;"",BF6&lt;&gt;""),IF(AND(BE6=4,BF6=0),3,0),0)+IF(AND(BE7&lt;&gt;"",BF7&lt;&gt;""),IF(AND(BE7=4,BF7=1),3,0),0)+IF(AND(BE8&lt;&gt;"",BF8&lt;&gt;""),IF(AND(BE8=1,BF8=3),3,0),0)+IF(AND(BE9&lt;&gt;"",BF9&lt;&gt;""),IF(AND(BE9=1,BF9=2),3,0),0)</f>
        <v>0</v>
      </c>
      <c r="M18" s="133"/>
      <c r="N18" s="133"/>
      <c r="O18" s="136" t="n">
        <f aca="false">IF(AND(BE4&lt;&gt;"",BF4&lt;&gt;""),IF(AND(BE4=3,BF4=0),3,0),0)+IF(AND(BE5&lt;&gt;"",BF5&lt;&gt;""),IF(AND(BE5=0,BF5=1),3,0),0)+IF(AND(BE6&lt;&gt;"",BF6&lt;&gt;""),IF(AND(BE6=2,BF6=0),3,0),0)+IF(AND(BE7&lt;&gt;"",BF7&lt;&gt;""),IF(AND(BE7=2,BF7=0),3,0),0)+IF(AND(BE8&lt;&gt;"",BF8&lt;&gt;""),IF(AND(BE8=0,BF8=1),3,0),0)+IF(AND(BE9&lt;&gt;"",BF9&lt;&gt;""),IF(AND(BE9=1,BF9=1),3,0),0)</f>
        <v>0</v>
      </c>
      <c r="P18" s="133"/>
      <c r="Q18" s="133"/>
      <c r="R18" s="137" t="n">
        <f aca="false">IF(AND(BE4&lt;&gt;"",BF4&lt;&gt;""),IF(AND(BE4=5,BF4=0),3,0),0)+IF(AND(BE5&lt;&gt;"",BF5&lt;&gt;""),IF(AND(BE5=1,BF5=3),3,0),0)+IF(AND(BE6&lt;&gt;"",BF6&lt;&gt;""),IF(AND(BE6=3,BF6=0),3,0),0)+IF(AND(BE7&lt;&gt;"",BF7&lt;&gt;""),IF(AND(BE7=2,BF7=1),3,0),0)+IF(AND(BE8&lt;&gt;"",BF8&lt;&gt;""),IF(AND(BE8=2,BF8=4),3,0),0)+IF(AND(BE9&lt;&gt;"",BF9&lt;&gt;""),IF(AND(BE9=1,BF9=1),3,0),0)</f>
        <v>0</v>
      </c>
      <c r="S18" s="133"/>
      <c r="T18" s="133"/>
      <c r="U18" s="138" t="n">
        <f aca="false">IF(AND(BE4&lt;&gt;"",BF4&lt;&gt;""),IF(AND(BE4=5,BF4=0),3,0),0)+IF(AND(BE5&lt;&gt;"",BF5&lt;&gt;""),IF(AND(BE5=1,BF5=2),3,0),0)+IF(AND(BE6&lt;&gt;"",BF6&lt;&gt;""),IF(AND(BE6=2,BF6=0),3,0),0)+IF(AND(BE7&lt;&gt;"",BF7&lt;&gt;""),IF(AND(BE7=4,BF7=1),3,0),0)+IF(AND(BE8&lt;&gt;"",BF8&lt;&gt;""),IF(AND(BE8=1,BF8=2),3,0),0)+IF(AND(BE9&lt;&gt;"",BF9&lt;&gt;""),IF(AND(BE9=1,BF9=3),3,0),0)</f>
        <v>0</v>
      </c>
      <c r="V18" s="133"/>
      <c r="W18" s="133"/>
      <c r="X18" s="139" t="n">
        <f aca="false">IF(AND(BE4&lt;&gt;"",BF4&lt;&gt;""),IF(AND(BE4=3,BF4=0),3,0),0)+IF(AND(BE5&lt;&gt;"",BF5&lt;&gt;""),IF(AND(BE5=0,BF5=2),3,0),0)+IF(AND(BE6&lt;&gt;"",BF6&lt;&gt;""),IF(AND(BE6=4,BF6=0),3,0),0)+IF(AND(BE7&lt;&gt;"",BF7&lt;&gt;""),IF(AND(BE7=1,BF7=0),3,0),0)+IF(AND(BE8&lt;&gt;"",BF8&lt;&gt;""),IF(AND(BE8=1,BF8=2),3,0),0)+IF(AND(BE9&lt;&gt;"",BF9&lt;&gt;""),IF(AND(BE9=1,BF9=0),3,0),0)</f>
        <v>0</v>
      </c>
      <c r="Y18" s="133"/>
      <c r="Z18" s="133"/>
      <c r="AA18" s="140" t="n">
        <f aca="false">IF(AND(BE4&lt;&gt;"",BF4&lt;&gt;""),IF(AND(BE4=3,BF4=0),3,0),0)+IF(AND(BE5&lt;&gt;"",BF5&lt;&gt;""),IF(AND(BE5=0,BF5=2),3,0),0)+IF(AND(BE6&lt;&gt;"",BF6&lt;&gt;""),IF(AND(BE6=2,BF6=0),3,0),0)+IF(AND(BE7&lt;&gt;"",BF7&lt;&gt;""),IF(AND(BE7=2,BF7=0),3,0),0)+IF(AND(BE8&lt;&gt;"",BF8&lt;&gt;""),IF(AND(BE8=1,BF8=1),3,0),0)+IF(AND(BE9&lt;&gt;"",BF9&lt;&gt;""),IF(AND(BE9=1,BF9=1),3,0),0)</f>
        <v>0</v>
      </c>
      <c r="AB18" s="133"/>
      <c r="AC18" s="133"/>
      <c r="AD18" s="141" t="n">
        <f aca="false">IF(AND(BE4&lt;&gt;"",BF4&lt;&gt;""),IF(AND(BE4=3,BF4=0),3,0),0)+IF(AND(BE5&lt;&gt;"",BF5&lt;&gt;""),IF(AND(BE5=0,BF5=1),3,0),0)+IF(AND(BE6&lt;&gt;"",BF6&lt;&gt;""),IF(AND(BE6=2,BF6=1),3,0),0)+IF(AND(BE7&lt;&gt;"",BF7&lt;&gt;""),IF(AND(BE7=2,BF7=1),3,0),0)+IF(AND(BE8&lt;&gt;"",BF8&lt;&gt;""),IF(AND(BE8=0,BF8=0),3,0),0)+IF(AND(BE9&lt;&gt;"",BF9&lt;&gt;""),IF(AND(BE9=1,BF9=0),3,0),0)</f>
        <v>0</v>
      </c>
      <c r="AE18" s="133"/>
      <c r="AF18" s="133"/>
      <c r="AG18" s="142" t="n">
        <f aca="false">IF(AND(BE4&lt;&gt;"",BF4&lt;&gt;""),IF(AND(BE4=4,BF4=1),3,0),0)+IF(AND(BE5&lt;&gt;"",BF5&lt;&gt;""),IF(AND(BE5=1,BF5=2),3,0),0)+IF(AND(BE6&lt;&gt;"",BF6&lt;&gt;""),IF(AND(BE6=2,BF6=1),3,0),0)+IF(AND(BE7&lt;&gt;"",BF7&lt;&gt;""),IF(AND(BE7=3,BF7=1),3,0),0)+IF(AND(BE8&lt;&gt;"",BF8&lt;&gt;""),IF(AND(BE8=2,BF8=2),3,0),0)+IF(AND(BE9&lt;&gt;"",BF9&lt;&gt;""),IF(AND(BE9=1,BF9=2),3,0),0)</f>
        <v>0</v>
      </c>
      <c r="AH18" s="133"/>
      <c r="AI18" s="133"/>
      <c r="AJ18" s="143" t="n">
        <f aca="false">IF(AND(BE4&lt;&gt;"",BF4&lt;&gt;""),IF(AND(BE4=2,BF4=1),3,0),0)+IF(AND(BE5&lt;&gt;"",BF5&lt;&gt;""),IF(AND(BE5=1,BF5=1),3,0),0)+IF(AND(BE6&lt;&gt;"",BF6&lt;&gt;""),IF(AND(BE6=3,BF6=0),3,0),0)+IF(AND(BE7&lt;&gt;"",BF7&lt;&gt;""),IF(AND(BE7=2,BF7=1),3,0),0)+IF(AND(BE8&lt;&gt;"",BF8&lt;&gt;""),IF(AND(BE8=1,BF8=3),3,0),0)+IF(AND(BE9&lt;&gt;"",BF9&lt;&gt;""),IF(AND(BE9=2,BF9=0),3,0),0)</f>
        <v>0</v>
      </c>
      <c r="AK18" s="133"/>
      <c r="AL18" s="133"/>
      <c r="AM18" s="144" t="n">
        <f aca="false">IF(AND(BE4&lt;&gt;"",BF4&lt;&gt;""),IF(AND(BE4=3,BF4=0),3,0),0)+IF(AND(BE5&lt;&gt;"",BF5&lt;&gt;""),IF(AND(BE5=1,BF5=2),3,0),0)+IF(AND(BE6&lt;&gt;"",BF6&lt;&gt;""),IF(AND(BE6=2,BF6=0),3,0),0)+IF(AND(BE7&lt;&gt;"",BF7&lt;&gt;""),IF(AND(BE7=2,BF7=1),3,0),0)+IF(AND(BE8&lt;&gt;"",BF8&lt;&gt;""),IF(AND(BE8=1,BF8=1),3,0),0)+IF(AND(BE9&lt;&gt;"",BF9&lt;&gt;""),IF(AND(BE9=1,BF9=1),3,0),0)</f>
        <v>0</v>
      </c>
      <c r="AN18" s="133"/>
      <c r="AO18" s="133"/>
      <c r="AP18" s="145" t="n">
        <f aca="false">IF(AND(BE4&lt;&gt;"",BF4&lt;&gt;""),IF(AND(BE4=3,BF4=0),3,0),0)+IF(AND(BE5&lt;&gt;"",BF5&lt;&gt;""),IF(AND(BE5=0,BF5=2),3,0),0)+IF(AND(BE6&lt;&gt;"",BF6&lt;&gt;""),IF(AND(BE6=5,BF6=0),3,0),0)+IF(AND(BE7&lt;&gt;"",BF7&lt;&gt;""),IF(AND(BE7=2,BF7=1),3,0),0)+IF(AND(BE8&lt;&gt;"",BF8&lt;&gt;""),IF(AND(BE8=1,BF8=1),3,0),0)+IF(AND(BE9&lt;&gt;"",BF9&lt;&gt;""),IF(AND(BE9=1,BF9=0),3,0),0)</f>
        <v>0</v>
      </c>
      <c r="AQ18" s="133"/>
      <c r="AR18" s="133"/>
      <c r="AS18" s="146" t="n">
        <f aca="false">IF(AND(BE4&lt;&gt;"",BF4&lt;&gt;""),IF(AND(BE4=3,BF4=0),3,0),0)+IF(AND(BE5&lt;&gt;"",BF5&lt;&gt;""),IF(AND(BE5=0,BF5=2),3,0),0)+IF(AND(BE6&lt;&gt;"",BF6&lt;&gt;""),IF(AND(BE6=4,BF6=0),3,0),0)+IF(AND(BE7&lt;&gt;"",BF7&lt;&gt;""),IF(AND(BE7=2,BF7=0),3,0),0)+IF(AND(BE8&lt;&gt;"",BF8&lt;&gt;""),IF(AND(BE8=1,BF8=3),3,0),0)+IF(AND(BE9&lt;&gt;"",BF9&lt;&gt;""),IF(AND(BE9=1,BF9=1),3,0),0)</f>
        <v>0</v>
      </c>
      <c r="AT18" s="133"/>
      <c r="AU18" s="133"/>
      <c r="AV18" s="147" t="n">
        <f aca="false">IF(AND(BE4&lt;&gt;"",BF4&lt;&gt;""),IF(AND(BE4=4,BF4=0),3,0),0)+IF(AND(BE5&lt;&gt;"",BF5&lt;&gt;""),IF(AND(BE5=0,BF5=2),3,0),0)+IF(AND(BE6&lt;&gt;"",BF6&lt;&gt;""),IF(AND(BE6=3,BF6=1),3,0),0)+IF(AND(BE7&lt;&gt;"",BF7&lt;&gt;""),IF(AND(BE7=1,BF7=0),3,0),0)+IF(AND(BE8&lt;&gt;"",BF8&lt;&gt;""),IF(AND(BE8=1,BF8=2),3,0),0)+IF(AND(BE9&lt;&gt;"",BF9&lt;&gt;""),IF(AND(BE9=1,BF9=1),3,0),0)</f>
        <v>0</v>
      </c>
      <c r="AW18" s="133"/>
      <c r="AX18" s="133"/>
      <c r="AY18" s="148" t="n">
        <f aca="false">IF(AND(BE4&lt;&gt;"",BF4&lt;&gt;""),IF(AND(BE4=4,BF4=0),3,0),0)+IF(AND(BE5&lt;&gt;"",BF5&lt;&gt;""),IF(AND(BE5=1,BF5=2),3,0),0)+IF(AND(BE6&lt;&gt;"",BF6&lt;&gt;""),IF(AND(BE6=3,BF6=0),3,0),0)+IF(AND(BE7&lt;&gt;"",BF7&lt;&gt;""),IF(AND(BE7=2,BF7=0),3,0),0)+IF(AND(BE8&lt;&gt;"",BF8&lt;&gt;""),IF(AND(BE8=1,BF8=1),3,0),0)+IF(AND(BE9&lt;&gt;"",BF9&lt;&gt;""),IF(AND(BE9=1,BF9=1),3,0),0)</f>
        <v>0</v>
      </c>
      <c r="AZ18" s="133"/>
      <c r="BA18" s="133"/>
      <c r="BB18" s="149" t="n">
        <f aca="false">IF(AND(BE4&lt;&gt;"",BF4&lt;&gt;""),IF(AND(BE4=5,BF4=0),3,0),0)+IF(AND(BE5&lt;&gt;"",BF5&lt;&gt;""),IF(AND(BE5=0,BF5=1),3,0),0)+IF(AND(BE6&lt;&gt;"",BF6&lt;&gt;""),IF(AND(BE6=3,BF6=0),3,0),0)+IF(AND(BE7&lt;&gt;"",BF7&lt;&gt;""),IF(AND(BE7=4,BF7=0),3,0),0)+IF(AND(BE8&lt;&gt;"",BF8&lt;&gt;""),IF(AND(BE8=1,BF8=2),3,0),0)+IF(AND(BE9&lt;&gt;"",BF9&lt;&gt;""),IF(AND(BE9=0,BF9=2)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IF(C12&lt;&gt;"",IF(C12="España",4,0),0)+IF(C13&lt;&gt;"",IF(C13="Uruguay",2,0),0)+0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IF(C12&lt;&gt;"",IF(C12="España",4,0),0)+IF(C13&lt;&gt;"",IF(C13="Uruguay",2,0),0)+IF(C14&lt;&gt;"",IF(C14="Arabia Saudí",1,0),0)</f>
        <v>0</v>
      </c>
      <c r="M19" s="152"/>
      <c r="N19" s="152"/>
      <c r="O19" s="155" t="n">
        <f aca="false">IF(C12&lt;&gt;"",IF(C12="España",4,0),0)+IF(C13&lt;&gt;"",IF(C13="Uruguay",2,0),0)+IF(C14&lt;&gt;"",IF(C14="Arabia Saudí",1,0),0)</f>
        <v>0</v>
      </c>
      <c r="P19" s="152"/>
      <c r="Q19" s="152"/>
      <c r="R19" s="156" t="n">
        <f aca="false">IF(C12&lt;&gt;"",IF(C12="España",4,0),0)+IF(C13&lt;&gt;"",IF(C13="Uruguay",2,0),0)+IF(C14&lt;&gt;"",IF(C14="Cabo Verde",1,0),0)</f>
        <v>0</v>
      </c>
      <c r="S19" s="152"/>
      <c r="T19" s="152"/>
      <c r="U19" s="157" t="n">
        <f aca="false">IF(C12&lt;&gt;"",IF(C12="España",4,0),0)+IF(C13&lt;&gt;"",IF(C13="Uruguay",2,0),0)+IF(C14&lt;&gt;"",IF(C14="Arabia Saudí",1,0),0)</f>
        <v>0</v>
      </c>
      <c r="V19" s="152"/>
      <c r="W19" s="152"/>
      <c r="X19" s="158" t="n">
        <f aca="false">IF(C12&lt;&gt;"",IF(C12="España",4,0),0)+IF(C13&lt;&gt;"",IF(C13="Uruguay",2,0),0)+IF(C14&lt;&gt;"",IF(C14="Cabo Verde",1,0),0)</f>
        <v>0</v>
      </c>
      <c r="Y19" s="152"/>
      <c r="Z19" s="152"/>
      <c r="AA19" s="159" t="n">
        <f aca="false">IF(C12&lt;&gt;"",IF(C12="España",4,0),0)+IF(C13&lt;&gt;"",IF(C13="Uruguay",2,0),0)+IF(C14&lt;&gt;"",IF(C14="Arabia Saudí",1,0),0)</f>
        <v>0</v>
      </c>
      <c r="AB19" s="152"/>
      <c r="AC19" s="152"/>
      <c r="AD19" s="160" t="n">
        <f aca="false">IF(C12&lt;&gt;"",IF(C12="ESPAÑA",4,0),0)+IF(C13&lt;&gt;"",IF(C13="URUGUAY",2,0),0)+IF(C14&lt;&gt;"",IF(C14="ARABIA SAUDI",1,0),0)</f>
        <v>0</v>
      </c>
      <c r="AE19" s="152"/>
      <c r="AF19" s="152"/>
      <c r="AG19" s="161" t="n">
        <f aca="false">IF(C12&lt;&gt;"",IF(C12="ESPAÑA",4,0),0)+IF(C13&lt;&gt;"",IF(C13="URUGUAY",2,0),0)+IF(C14&lt;&gt;"",IF(C14="ARABIA SAUDÍ",1,0),0)</f>
        <v>0</v>
      </c>
      <c r="AH19" s="152"/>
      <c r="AI19" s="152"/>
      <c r="AJ19" s="162" t="n">
        <f aca="false">IF(C12&lt;&gt;"",IF(C12="ESPAÑA",4,0),0)+IF(C13&lt;&gt;"",IF(C13="URUGUAY",2,0),0)+IF(C14&lt;&gt;"",IF(C14="CABO VERDE",1,0),0)</f>
        <v>0</v>
      </c>
      <c r="AK19" s="152"/>
      <c r="AL19" s="152"/>
      <c r="AM19" s="163" t="n">
        <f aca="false">IF(C12&lt;&gt;"",IF(C12="España",4,0),0)+IF(C13&lt;&gt;"",IF(C13="Uruguay",2,0),0)+IF(C14&lt;&gt;"",IF(C14="Arabia",1,0),0)</f>
        <v>0</v>
      </c>
      <c r="AN19" s="152"/>
      <c r="AO19" s="152"/>
      <c r="AP19" s="164" t="n">
        <f aca="false">IF(C12&lt;&gt;"",IF(C12="España",4,0),0)+IF(C13&lt;&gt;"",IF(C13="Uruguay",2,0),0)+IF(C14&lt;&gt;"",IF(C14="Arabia Saudí",1,0),0)</f>
        <v>0</v>
      </c>
      <c r="AQ19" s="152"/>
      <c r="AR19" s="152"/>
      <c r="AS19" s="165" t="n">
        <f aca="false">IF(C12&lt;&gt;"",IF(C12="España",4,0),0)+IF(C13&lt;&gt;"",IF(C13="Uruguay",2,0),0)+IF(C14&lt;&gt;"",IF(C14="Arabia Saudi",1,0),0)</f>
        <v>0</v>
      </c>
      <c r="AT19" s="152"/>
      <c r="AU19" s="152"/>
      <c r="AV19" s="166" t="n">
        <f aca="false">IF(C12&lt;&gt;"",IF(C12="España",4,0),0)+IF(C13&lt;&gt;"",IF(C13="uruguay",2,0),0)+IF(C14&lt;&gt;"",IF(C14="cabo verde",1,0),0)</f>
        <v>0</v>
      </c>
      <c r="AW19" s="152"/>
      <c r="AX19" s="152"/>
      <c r="AY19" s="167" t="n">
        <f aca="false">IF(C12&lt;&gt;"",IF(C12="España",4,0),0)+IF(C13&lt;&gt;"",IF(C13="Uruguay",2,0),0)+IF(C14&lt;&gt;"",IF(C14="Arabia Saudi",1,0),0)</f>
        <v>0</v>
      </c>
      <c r="AZ19" s="152"/>
      <c r="BA19" s="152"/>
      <c r="BB19" s="168" t="n">
        <f aca="false">IF(C12&lt;&gt;"",IF(C12="España",4,0),0)+IF(C13&lt;&gt;"",IF(C13="Uruguay",2,0),0)+IF(C14&lt;&gt;"",IF(C14="Arabia Saudí",1,0),0)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163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164</v>
      </c>
      <c r="C4" s="80" t="s">
        <v>35</v>
      </c>
      <c r="D4" s="81" t="s">
        <v>165</v>
      </c>
      <c r="E4" s="80"/>
      <c r="F4" s="82" t="n">
        <v>2</v>
      </c>
      <c r="G4" s="82" t="n">
        <v>0</v>
      </c>
      <c r="H4" s="82" t="s">
        <v>38</v>
      </c>
      <c r="I4" s="82"/>
      <c r="J4" s="82"/>
      <c r="K4" s="82"/>
      <c r="L4" s="82" t="n">
        <v>2</v>
      </c>
      <c r="M4" s="82" t="n">
        <v>0</v>
      </c>
      <c r="N4" s="82" t="s">
        <v>37</v>
      </c>
      <c r="O4" s="82" t="n">
        <v>2</v>
      </c>
      <c r="P4" s="82" t="n">
        <v>0</v>
      </c>
      <c r="Q4" s="82" t="s">
        <v>37</v>
      </c>
      <c r="R4" s="82" t="n">
        <v>2</v>
      </c>
      <c r="S4" s="82" t="n">
        <v>3</v>
      </c>
      <c r="T4" s="82" t="s">
        <v>41</v>
      </c>
      <c r="U4" s="82" t="n">
        <v>2</v>
      </c>
      <c r="V4" s="82" t="n">
        <v>0</v>
      </c>
      <c r="W4" s="82" t="s">
        <v>37</v>
      </c>
      <c r="X4" s="82" t="n">
        <v>2</v>
      </c>
      <c r="Y4" s="82" t="n">
        <v>1</v>
      </c>
      <c r="Z4" s="82" t="s">
        <v>37</v>
      </c>
      <c r="AA4" s="82" t="n">
        <v>2</v>
      </c>
      <c r="AB4" s="82" t="n">
        <v>0</v>
      </c>
      <c r="AC4" s="82" t="s">
        <v>37</v>
      </c>
      <c r="AD4" s="82" t="n">
        <v>1</v>
      </c>
      <c r="AE4" s="82" t="n">
        <v>0</v>
      </c>
      <c r="AF4" s="82" t="s">
        <v>38</v>
      </c>
      <c r="AG4" s="82" t="n">
        <v>3</v>
      </c>
      <c r="AH4" s="82" t="n">
        <v>2</v>
      </c>
      <c r="AI4" s="82" t="s">
        <v>37</v>
      </c>
      <c r="AJ4" s="82"/>
      <c r="AK4" s="82"/>
      <c r="AL4" s="82"/>
      <c r="AM4" s="82" t="n">
        <v>2</v>
      </c>
      <c r="AN4" s="82" t="n">
        <v>0</v>
      </c>
      <c r="AO4" s="82" t="s">
        <v>37</v>
      </c>
      <c r="AP4" s="82" t="n">
        <v>3</v>
      </c>
      <c r="AQ4" s="82" t="n">
        <v>1</v>
      </c>
      <c r="AR4" s="82" t="s">
        <v>37</v>
      </c>
      <c r="AS4" s="82" t="n">
        <v>3</v>
      </c>
      <c r="AT4" s="82" t="n">
        <v>1</v>
      </c>
      <c r="AU4" s="82" t="s">
        <v>37</v>
      </c>
      <c r="AV4" s="82" t="n">
        <v>2</v>
      </c>
      <c r="AW4" s="82" t="n">
        <v>1</v>
      </c>
      <c r="AX4" s="82" t="s">
        <v>37</v>
      </c>
      <c r="AY4" s="82" t="n">
        <v>2</v>
      </c>
      <c r="AZ4" s="82" t="n">
        <v>0</v>
      </c>
      <c r="BA4" s="82" t="s">
        <v>37</v>
      </c>
      <c r="BB4" s="82" t="n">
        <v>2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166</v>
      </c>
      <c r="C5" s="84" t="s">
        <v>35</v>
      </c>
      <c r="D5" s="85" t="s">
        <v>167</v>
      </c>
      <c r="E5" s="84"/>
      <c r="F5" s="86" t="n">
        <v>0</v>
      </c>
      <c r="G5" s="86" t="n">
        <v>4</v>
      </c>
      <c r="H5" s="86" t="s">
        <v>41</v>
      </c>
      <c r="I5" s="86"/>
      <c r="J5" s="86"/>
      <c r="K5" s="86"/>
      <c r="L5" s="86" t="n">
        <v>1</v>
      </c>
      <c r="M5" s="86" t="n">
        <v>2</v>
      </c>
      <c r="N5" s="86" t="s">
        <v>38</v>
      </c>
      <c r="O5" s="86" t="n">
        <v>0</v>
      </c>
      <c r="P5" s="86" t="n">
        <v>2</v>
      </c>
      <c r="Q5" s="86" t="s">
        <v>41</v>
      </c>
      <c r="R5" s="86" t="n">
        <v>1</v>
      </c>
      <c r="S5" s="86" t="n">
        <v>2</v>
      </c>
      <c r="T5" s="86" t="s">
        <v>41</v>
      </c>
      <c r="U5" s="86" t="n">
        <v>0</v>
      </c>
      <c r="V5" s="86" t="n">
        <v>3</v>
      </c>
      <c r="W5" s="86" t="s">
        <v>41</v>
      </c>
      <c r="X5" s="86" t="n">
        <v>0</v>
      </c>
      <c r="Y5" s="86" t="n">
        <v>4</v>
      </c>
      <c r="Z5" s="86" t="s">
        <v>41</v>
      </c>
      <c r="AA5" s="86" t="n">
        <v>0</v>
      </c>
      <c r="AB5" s="86" t="n">
        <v>2</v>
      </c>
      <c r="AC5" s="86" t="s">
        <v>41</v>
      </c>
      <c r="AD5" s="86" t="n">
        <v>0</v>
      </c>
      <c r="AE5" s="86" t="n">
        <v>3</v>
      </c>
      <c r="AF5" s="86" t="s">
        <v>41</v>
      </c>
      <c r="AG5" s="86" t="n">
        <v>0</v>
      </c>
      <c r="AH5" s="86" t="n">
        <v>2</v>
      </c>
      <c r="AI5" s="86" t="s">
        <v>41</v>
      </c>
      <c r="AJ5" s="86"/>
      <c r="AK5" s="86"/>
      <c r="AL5" s="86"/>
      <c r="AM5" s="86" t="n">
        <v>1</v>
      </c>
      <c r="AN5" s="86" t="n">
        <v>2</v>
      </c>
      <c r="AO5" s="86" t="s">
        <v>41</v>
      </c>
      <c r="AP5" s="86" t="n">
        <v>0</v>
      </c>
      <c r="AQ5" s="86" t="n">
        <v>2</v>
      </c>
      <c r="AR5" s="86" t="s">
        <v>41</v>
      </c>
      <c r="AS5" s="86" t="n">
        <v>0</v>
      </c>
      <c r="AT5" s="86" t="n">
        <v>2</v>
      </c>
      <c r="AU5" s="86" t="s">
        <v>41</v>
      </c>
      <c r="AV5" s="86" t="n">
        <v>0</v>
      </c>
      <c r="AW5" s="86" t="n">
        <v>0</v>
      </c>
      <c r="AX5" s="86" t="s">
        <v>38</v>
      </c>
      <c r="AY5" s="86" t="n">
        <v>1</v>
      </c>
      <c r="AZ5" s="86" t="n">
        <v>0</v>
      </c>
      <c r="BA5" s="86" t="s">
        <v>41</v>
      </c>
      <c r="BB5" s="86" t="n">
        <v>1</v>
      </c>
      <c r="BC5" s="86" t="n">
        <v>3</v>
      </c>
      <c r="BD5" s="86" t="s">
        <v>41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164</v>
      </c>
      <c r="C6" s="80" t="s">
        <v>35</v>
      </c>
      <c r="D6" s="81" t="s">
        <v>166</v>
      </c>
      <c r="E6" s="80"/>
      <c r="F6" s="82" t="n">
        <v>3</v>
      </c>
      <c r="G6" s="82" t="n">
        <v>1</v>
      </c>
      <c r="H6" s="82" t="s">
        <v>37</v>
      </c>
      <c r="I6" s="82"/>
      <c r="J6" s="82"/>
      <c r="K6" s="82"/>
      <c r="L6" s="82" t="n">
        <v>3</v>
      </c>
      <c r="M6" s="82" t="n">
        <v>1</v>
      </c>
      <c r="N6" s="82" t="s">
        <v>37</v>
      </c>
      <c r="O6" s="82" t="n">
        <v>3</v>
      </c>
      <c r="P6" s="82" t="n">
        <v>0</v>
      </c>
      <c r="Q6" s="82" t="s">
        <v>37</v>
      </c>
      <c r="R6" s="82" t="n">
        <v>3</v>
      </c>
      <c r="S6" s="82" t="n">
        <v>0</v>
      </c>
      <c r="T6" s="82" t="s">
        <v>37</v>
      </c>
      <c r="U6" s="82" t="n">
        <v>1</v>
      </c>
      <c r="V6" s="82" t="n">
        <v>0</v>
      </c>
      <c r="W6" s="82" t="s">
        <v>37</v>
      </c>
      <c r="X6" s="82" t="n">
        <v>5</v>
      </c>
      <c r="Y6" s="82" t="n">
        <v>0</v>
      </c>
      <c r="Z6" s="82" t="s">
        <v>37</v>
      </c>
      <c r="AA6" s="82" t="n">
        <v>3</v>
      </c>
      <c r="AB6" s="82" t="n">
        <v>0</v>
      </c>
      <c r="AC6" s="82" t="s">
        <v>37</v>
      </c>
      <c r="AD6" s="82" t="n">
        <v>2</v>
      </c>
      <c r="AE6" s="82" t="n">
        <v>0</v>
      </c>
      <c r="AF6" s="82" t="s">
        <v>37</v>
      </c>
      <c r="AG6" s="82" t="n">
        <v>5</v>
      </c>
      <c r="AH6" s="82" t="n">
        <v>0</v>
      </c>
      <c r="AI6" s="82" t="s">
        <v>37</v>
      </c>
      <c r="AJ6" s="82"/>
      <c r="AK6" s="82"/>
      <c r="AL6" s="82"/>
      <c r="AM6" s="82" t="n">
        <v>3</v>
      </c>
      <c r="AN6" s="82" t="n">
        <v>0</v>
      </c>
      <c r="AO6" s="82" t="s">
        <v>37</v>
      </c>
      <c r="AP6" s="82" t="n">
        <v>5</v>
      </c>
      <c r="AQ6" s="82" t="n">
        <v>0</v>
      </c>
      <c r="AR6" s="82" t="s">
        <v>37</v>
      </c>
      <c r="AS6" s="82" t="n">
        <v>4</v>
      </c>
      <c r="AT6" s="82" t="n">
        <v>1</v>
      </c>
      <c r="AU6" s="82" t="s">
        <v>37</v>
      </c>
      <c r="AV6" s="82" t="n">
        <v>2</v>
      </c>
      <c r="AW6" s="82" t="n">
        <v>0</v>
      </c>
      <c r="AX6" s="82" t="s">
        <v>37</v>
      </c>
      <c r="AY6" s="82" t="n">
        <v>4</v>
      </c>
      <c r="AZ6" s="82" t="n">
        <v>0</v>
      </c>
      <c r="BA6" s="82" t="s">
        <v>37</v>
      </c>
      <c r="BB6" s="82" t="n">
        <v>3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167</v>
      </c>
      <c r="C7" s="84" t="s">
        <v>35</v>
      </c>
      <c r="D7" s="85" t="s">
        <v>165</v>
      </c>
      <c r="E7" s="84"/>
      <c r="F7" s="86" t="n">
        <v>3</v>
      </c>
      <c r="G7" s="86" t="n">
        <v>1</v>
      </c>
      <c r="H7" s="86" t="s">
        <v>37</v>
      </c>
      <c r="I7" s="86"/>
      <c r="J7" s="86"/>
      <c r="K7" s="86"/>
      <c r="L7" s="86" t="n">
        <v>2</v>
      </c>
      <c r="M7" s="86" t="n">
        <v>0</v>
      </c>
      <c r="N7" s="86" t="s">
        <v>38</v>
      </c>
      <c r="O7" s="86" t="n">
        <v>1</v>
      </c>
      <c r="P7" s="86" t="n">
        <v>1</v>
      </c>
      <c r="Q7" s="86" t="s">
        <v>38</v>
      </c>
      <c r="R7" s="86" t="n">
        <v>2</v>
      </c>
      <c r="S7" s="86" t="n">
        <v>4</v>
      </c>
      <c r="T7" s="86" t="s">
        <v>41</v>
      </c>
      <c r="U7" s="86" t="n">
        <v>2</v>
      </c>
      <c r="V7" s="86" t="n">
        <v>2</v>
      </c>
      <c r="W7" s="86" t="s">
        <v>38</v>
      </c>
      <c r="X7" s="86" t="n">
        <v>2</v>
      </c>
      <c r="Y7" s="86" t="n">
        <v>2</v>
      </c>
      <c r="Z7" s="86" t="s">
        <v>37</v>
      </c>
      <c r="AA7" s="86" t="n">
        <v>2</v>
      </c>
      <c r="AB7" s="86" t="n">
        <v>1</v>
      </c>
      <c r="AC7" s="86" t="s">
        <v>37</v>
      </c>
      <c r="AD7" s="86" t="n">
        <v>1</v>
      </c>
      <c r="AE7" s="86" t="n">
        <v>1</v>
      </c>
      <c r="AF7" s="86" t="s">
        <v>41</v>
      </c>
      <c r="AG7" s="86" t="n">
        <v>1</v>
      </c>
      <c r="AH7" s="86" t="n">
        <v>1</v>
      </c>
      <c r="AI7" s="86" t="s">
        <v>37</v>
      </c>
      <c r="AJ7" s="86"/>
      <c r="AK7" s="86"/>
      <c r="AL7" s="86"/>
      <c r="AM7" s="86" t="n">
        <v>1</v>
      </c>
      <c r="AN7" s="86" t="n">
        <v>1</v>
      </c>
      <c r="AO7" s="86" t="s">
        <v>38</v>
      </c>
      <c r="AP7" s="86" t="n">
        <v>3</v>
      </c>
      <c r="AQ7" s="86" t="n">
        <v>1</v>
      </c>
      <c r="AR7" s="86" t="s">
        <v>37</v>
      </c>
      <c r="AS7" s="86" t="n">
        <v>0</v>
      </c>
      <c r="AT7" s="86" t="n">
        <v>1</v>
      </c>
      <c r="AU7" s="86" t="s">
        <v>41</v>
      </c>
      <c r="AV7" s="86" t="n">
        <v>1</v>
      </c>
      <c r="AW7" s="86" t="n">
        <v>2</v>
      </c>
      <c r="AX7" s="86" t="s">
        <v>41</v>
      </c>
      <c r="AY7" s="86" t="n">
        <v>0</v>
      </c>
      <c r="AZ7" s="86" t="n">
        <v>1</v>
      </c>
      <c r="BA7" s="86" t="s">
        <v>41</v>
      </c>
      <c r="BB7" s="86" t="n">
        <v>1</v>
      </c>
      <c r="BC7" s="86" t="n">
        <v>1</v>
      </c>
      <c r="BD7" s="86" t="s">
        <v>38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167</v>
      </c>
      <c r="C8" s="80" t="s">
        <v>35</v>
      </c>
      <c r="D8" s="81" t="s">
        <v>164</v>
      </c>
      <c r="E8" s="80"/>
      <c r="F8" s="82" t="n">
        <v>2</v>
      </c>
      <c r="G8" s="82" t="n">
        <v>1</v>
      </c>
      <c r="H8" s="82" t="s">
        <v>37</v>
      </c>
      <c r="I8" s="82"/>
      <c r="J8" s="82"/>
      <c r="K8" s="82"/>
      <c r="L8" s="82" t="n">
        <v>1</v>
      </c>
      <c r="M8" s="82" t="n">
        <v>2</v>
      </c>
      <c r="N8" s="82" t="s">
        <v>41</v>
      </c>
      <c r="O8" s="82" t="n">
        <v>1</v>
      </c>
      <c r="P8" s="82" t="n">
        <v>2</v>
      </c>
      <c r="Q8" s="82" t="s">
        <v>41</v>
      </c>
      <c r="R8" s="82" t="n">
        <v>1</v>
      </c>
      <c r="S8" s="82" t="n">
        <v>3</v>
      </c>
      <c r="T8" s="82" t="s">
        <v>41</v>
      </c>
      <c r="U8" s="82" t="n">
        <v>2</v>
      </c>
      <c r="V8" s="82" t="n">
        <v>3</v>
      </c>
      <c r="W8" s="82" t="s">
        <v>41</v>
      </c>
      <c r="X8" s="82" t="n">
        <v>1</v>
      </c>
      <c r="Y8" s="82" t="n">
        <v>1</v>
      </c>
      <c r="Z8" s="82" t="s">
        <v>41</v>
      </c>
      <c r="AA8" s="82" t="n">
        <v>1</v>
      </c>
      <c r="AB8" s="82" t="n">
        <v>2</v>
      </c>
      <c r="AC8" s="82" t="s">
        <v>41</v>
      </c>
      <c r="AD8" s="82" t="n">
        <v>0</v>
      </c>
      <c r="AE8" s="82" t="n">
        <v>0</v>
      </c>
      <c r="AF8" s="82" t="s">
        <v>37</v>
      </c>
      <c r="AG8" s="82" t="n">
        <v>1</v>
      </c>
      <c r="AH8" s="82" t="n">
        <v>2</v>
      </c>
      <c r="AI8" s="82" t="s">
        <v>41</v>
      </c>
      <c r="AJ8" s="82"/>
      <c r="AK8" s="82"/>
      <c r="AL8" s="82"/>
      <c r="AM8" s="82" t="n">
        <v>1</v>
      </c>
      <c r="AN8" s="82" t="n">
        <v>2</v>
      </c>
      <c r="AO8" s="82" t="s">
        <v>41</v>
      </c>
      <c r="AP8" s="82" t="n">
        <v>1</v>
      </c>
      <c r="AQ8" s="82" t="n">
        <v>1</v>
      </c>
      <c r="AR8" s="82" t="s">
        <v>41</v>
      </c>
      <c r="AS8" s="82" t="n">
        <v>1</v>
      </c>
      <c r="AT8" s="82" t="n">
        <v>3</v>
      </c>
      <c r="AU8" s="82" t="s">
        <v>41</v>
      </c>
      <c r="AV8" s="82" t="n">
        <v>0</v>
      </c>
      <c r="AW8" s="82" t="n">
        <v>2</v>
      </c>
      <c r="AX8" s="82" t="s">
        <v>41</v>
      </c>
      <c r="AY8" s="82" t="n">
        <v>1</v>
      </c>
      <c r="AZ8" s="82" t="n">
        <v>3</v>
      </c>
      <c r="BA8" s="82" t="s">
        <v>41</v>
      </c>
      <c r="BB8" s="82" t="n">
        <v>1</v>
      </c>
      <c r="BC8" s="82" t="n">
        <v>2</v>
      </c>
      <c r="BD8" s="82" t="s">
        <v>41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165</v>
      </c>
      <c r="C9" s="84" t="s">
        <v>35</v>
      </c>
      <c r="D9" s="85" t="s">
        <v>166</v>
      </c>
      <c r="E9" s="84"/>
      <c r="F9" s="86" t="n">
        <v>2</v>
      </c>
      <c r="G9" s="86" t="n">
        <v>1</v>
      </c>
      <c r="H9" s="86" t="s">
        <v>37</v>
      </c>
      <c r="I9" s="86"/>
      <c r="J9" s="86"/>
      <c r="K9" s="86"/>
      <c r="L9" s="86" t="n">
        <v>1</v>
      </c>
      <c r="M9" s="86" t="n">
        <v>1</v>
      </c>
      <c r="N9" s="86" t="s">
        <v>38</v>
      </c>
      <c r="O9" s="86" t="n">
        <v>1</v>
      </c>
      <c r="P9" s="86" t="n">
        <v>0</v>
      </c>
      <c r="Q9" s="86" t="s">
        <v>37</v>
      </c>
      <c r="R9" s="86" t="n">
        <v>3</v>
      </c>
      <c r="S9" s="86" t="n">
        <v>0</v>
      </c>
      <c r="T9" s="86" t="s">
        <v>37</v>
      </c>
      <c r="U9" s="86" t="n">
        <v>2</v>
      </c>
      <c r="V9" s="86" t="n">
        <v>1</v>
      </c>
      <c r="W9" s="86" t="s">
        <v>37</v>
      </c>
      <c r="X9" s="86" t="n">
        <v>3</v>
      </c>
      <c r="Y9" s="86" t="n">
        <v>0</v>
      </c>
      <c r="Z9" s="86" t="s">
        <v>37</v>
      </c>
      <c r="AA9" s="86" t="n">
        <v>2</v>
      </c>
      <c r="AB9" s="86" t="n">
        <v>0</v>
      </c>
      <c r="AC9" s="86" t="s">
        <v>37</v>
      </c>
      <c r="AD9" s="86" t="n">
        <v>1</v>
      </c>
      <c r="AE9" s="86" t="n">
        <v>0</v>
      </c>
      <c r="AF9" s="86" t="s">
        <v>38</v>
      </c>
      <c r="AG9" s="86" t="n">
        <v>2</v>
      </c>
      <c r="AH9" s="86" t="n">
        <v>1</v>
      </c>
      <c r="AI9" s="86" t="s">
        <v>37</v>
      </c>
      <c r="AJ9" s="86"/>
      <c r="AK9" s="86"/>
      <c r="AL9" s="86"/>
      <c r="AM9" s="86" t="n">
        <v>2</v>
      </c>
      <c r="AN9" s="86" t="n">
        <v>0</v>
      </c>
      <c r="AO9" s="86" t="s">
        <v>37</v>
      </c>
      <c r="AP9" s="86" t="n">
        <v>2</v>
      </c>
      <c r="AQ9" s="86" t="n">
        <v>0</v>
      </c>
      <c r="AR9" s="86" t="s">
        <v>37</v>
      </c>
      <c r="AS9" s="86" t="n">
        <v>2</v>
      </c>
      <c r="AT9" s="86" t="n">
        <v>1</v>
      </c>
      <c r="AU9" s="86" t="s">
        <v>37</v>
      </c>
      <c r="AV9" s="86" t="n">
        <v>2</v>
      </c>
      <c r="AW9" s="86" t="n">
        <v>0</v>
      </c>
      <c r="AX9" s="86" t="s">
        <v>37</v>
      </c>
      <c r="AY9" s="86" t="n">
        <v>1</v>
      </c>
      <c r="AZ9" s="86" t="n">
        <v>0</v>
      </c>
      <c r="BA9" s="86" t="s">
        <v>38</v>
      </c>
      <c r="BB9" s="86" t="n">
        <v>2</v>
      </c>
      <c r="BC9" s="86" t="n">
        <v>0</v>
      </c>
      <c r="BD9" s="86" t="s">
        <v>37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167</v>
      </c>
      <c r="G12" s="90"/>
      <c r="H12" s="90"/>
      <c r="I12" s="91"/>
      <c r="J12" s="91"/>
      <c r="K12" s="91"/>
      <c r="L12" s="92" t="s">
        <v>164</v>
      </c>
      <c r="M12" s="92"/>
      <c r="N12" s="92"/>
      <c r="O12" s="93" t="s">
        <v>164</v>
      </c>
      <c r="P12" s="93"/>
      <c r="Q12" s="93"/>
      <c r="R12" s="94" t="s">
        <v>165</v>
      </c>
      <c r="S12" s="94"/>
      <c r="T12" s="94"/>
      <c r="U12" s="95" t="s">
        <v>164</v>
      </c>
      <c r="V12" s="95"/>
      <c r="W12" s="95"/>
      <c r="X12" s="96" t="s">
        <v>164</v>
      </c>
      <c r="Y12" s="96"/>
      <c r="Z12" s="96"/>
      <c r="AA12" s="97" t="s">
        <v>164</v>
      </c>
      <c r="AB12" s="97"/>
      <c r="AC12" s="97"/>
      <c r="AD12" s="98" t="s">
        <v>168</v>
      </c>
      <c r="AE12" s="98"/>
      <c r="AF12" s="98"/>
      <c r="AG12" s="99" t="s">
        <v>168</v>
      </c>
      <c r="AH12" s="99"/>
      <c r="AI12" s="99"/>
      <c r="AJ12" s="100"/>
      <c r="AK12" s="100"/>
      <c r="AL12" s="100"/>
      <c r="AM12" s="101" t="s">
        <v>164</v>
      </c>
      <c r="AN12" s="101"/>
      <c r="AO12" s="101"/>
      <c r="AP12" s="102" t="s">
        <v>164</v>
      </c>
      <c r="AQ12" s="102"/>
      <c r="AR12" s="102"/>
      <c r="AS12" s="103" t="s">
        <v>164</v>
      </c>
      <c r="AT12" s="103"/>
      <c r="AU12" s="103"/>
      <c r="AV12" s="104" t="s">
        <v>169</v>
      </c>
      <c r="AW12" s="104"/>
      <c r="AX12" s="104"/>
      <c r="AY12" s="105" t="s">
        <v>164</v>
      </c>
      <c r="AZ12" s="105"/>
      <c r="BA12" s="105"/>
      <c r="BB12" s="106" t="s">
        <v>164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164</v>
      </c>
      <c r="G13" s="90"/>
      <c r="H13" s="90"/>
      <c r="I13" s="91"/>
      <c r="J13" s="91"/>
      <c r="K13" s="91"/>
      <c r="L13" s="92" t="s">
        <v>167</v>
      </c>
      <c r="M13" s="92"/>
      <c r="N13" s="92"/>
      <c r="O13" s="93" t="s">
        <v>167</v>
      </c>
      <c r="P13" s="93"/>
      <c r="Q13" s="93"/>
      <c r="R13" s="94" t="s">
        <v>164</v>
      </c>
      <c r="S13" s="94"/>
      <c r="T13" s="94"/>
      <c r="U13" s="95" t="s">
        <v>167</v>
      </c>
      <c r="V13" s="95"/>
      <c r="W13" s="95"/>
      <c r="X13" s="96" t="s">
        <v>167</v>
      </c>
      <c r="Y13" s="96"/>
      <c r="Z13" s="96"/>
      <c r="AA13" s="97" t="s">
        <v>167</v>
      </c>
      <c r="AB13" s="97"/>
      <c r="AC13" s="97"/>
      <c r="AD13" s="98" t="s">
        <v>170</v>
      </c>
      <c r="AE13" s="98"/>
      <c r="AF13" s="98"/>
      <c r="AG13" s="99" t="s">
        <v>171</v>
      </c>
      <c r="AH13" s="99"/>
      <c r="AI13" s="99"/>
      <c r="AJ13" s="100"/>
      <c r="AK13" s="100"/>
      <c r="AL13" s="100"/>
      <c r="AM13" s="101" t="s">
        <v>167</v>
      </c>
      <c r="AN13" s="101"/>
      <c r="AO13" s="101"/>
      <c r="AP13" s="102" t="s">
        <v>167</v>
      </c>
      <c r="AQ13" s="102"/>
      <c r="AR13" s="102"/>
      <c r="AS13" s="103" t="s">
        <v>165</v>
      </c>
      <c r="AT13" s="103"/>
      <c r="AU13" s="103"/>
      <c r="AV13" s="104" t="s">
        <v>165</v>
      </c>
      <c r="AW13" s="104"/>
      <c r="AX13" s="104"/>
      <c r="AY13" s="105" t="s">
        <v>167</v>
      </c>
      <c r="AZ13" s="105"/>
      <c r="BA13" s="105"/>
      <c r="BB13" s="106" t="s">
        <v>167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165</v>
      </c>
      <c r="G14" s="90"/>
      <c r="H14" s="90"/>
      <c r="I14" s="91"/>
      <c r="J14" s="91"/>
      <c r="K14" s="91"/>
      <c r="L14" s="92" t="s">
        <v>165</v>
      </c>
      <c r="M14" s="92"/>
      <c r="N14" s="92"/>
      <c r="O14" s="93" t="s">
        <v>165</v>
      </c>
      <c r="P14" s="93"/>
      <c r="Q14" s="93"/>
      <c r="R14" s="94" t="s">
        <v>167</v>
      </c>
      <c r="S14" s="94"/>
      <c r="T14" s="94"/>
      <c r="U14" s="95" t="s">
        <v>165</v>
      </c>
      <c r="V14" s="95"/>
      <c r="W14" s="95"/>
      <c r="X14" s="96" t="s">
        <v>165</v>
      </c>
      <c r="Y14" s="96"/>
      <c r="Z14" s="96"/>
      <c r="AA14" s="97" t="s">
        <v>165</v>
      </c>
      <c r="AB14" s="97"/>
      <c r="AC14" s="97"/>
      <c r="AD14" s="98" t="s">
        <v>171</v>
      </c>
      <c r="AE14" s="98"/>
      <c r="AF14" s="98"/>
      <c r="AG14" s="99" t="s">
        <v>170</v>
      </c>
      <c r="AH14" s="99"/>
      <c r="AI14" s="99"/>
      <c r="AJ14" s="100"/>
      <c r="AK14" s="100"/>
      <c r="AL14" s="100"/>
      <c r="AM14" s="101" t="s">
        <v>165</v>
      </c>
      <c r="AN14" s="101"/>
      <c r="AO14" s="101"/>
      <c r="AP14" s="102" t="s">
        <v>165</v>
      </c>
      <c r="AQ14" s="102"/>
      <c r="AR14" s="102"/>
      <c r="AS14" s="103" t="s">
        <v>167</v>
      </c>
      <c r="AT14" s="103"/>
      <c r="AU14" s="103"/>
      <c r="AV14" s="104" t="s">
        <v>172</v>
      </c>
      <c r="AW14" s="104"/>
      <c r="AX14" s="104"/>
      <c r="AY14" s="105" t="s">
        <v>166</v>
      </c>
      <c r="AZ14" s="105"/>
      <c r="BA14" s="105"/>
      <c r="BB14" s="106" t="s">
        <v>165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1",1,0),0)+IF(AND(BE9&lt;&gt;"",BF9&lt;&gt;""),IF(IF(BE9&gt;BF9,"1",IF(BE9&lt;BF9,"2","X"))="1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P17" s="113"/>
      <c r="Q17" s="113"/>
      <c r="R17" s="117" t="n">
        <f aca="false">IF(AND(BE4&lt;&gt;"",BF4&lt;&gt;""),IF(IF(BE4&gt;BF4,"1",IF(BE4&lt;BF4,"2","X"))="2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AB17" s="113"/>
      <c r="AC17" s="113"/>
      <c r="AD17" s="121" t="n">
        <f aca="false">IF(AND(BE4&lt;&gt;"",BF4&lt;&gt;""),IF(IF(BE4&gt;BF4,"1",IF(BE4&lt;BF4,"2","X"))="X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1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2,BF4=0),3,0),0)+IF(AND(BE5&lt;&gt;"",BF5&lt;&gt;""),IF(AND(BE5=0,BF5=4),3,0),0)+IF(AND(BE6&lt;&gt;"",BF6&lt;&gt;""),IF(AND(BE6=3,BF6=1),3,0),0)+IF(AND(BE7&lt;&gt;"",BF7&lt;&gt;""),IF(AND(BE7=3,BF7=1),3,0),0)+IF(AND(BE8&lt;&gt;"",BF8&lt;&gt;""),IF(AND(BE8=2,BF8=1),3,0),0)+IF(AND(BE9&lt;&gt;"",BF9&lt;&gt;""),IF(AND(BE9=2,BF9=1)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2,BF4=0),3,0),0)+IF(AND(BE5&lt;&gt;"",BF5&lt;&gt;""),IF(AND(BE5=1,BF5=2),3,0),0)+IF(AND(BE6&lt;&gt;"",BF6&lt;&gt;""),IF(AND(BE6=3,BF6=1),3,0),0)+IF(AND(BE7&lt;&gt;"",BF7&lt;&gt;""),IF(AND(BE7=2,BF7=0),3,0),0)+IF(AND(BE8&lt;&gt;"",BF8&lt;&gt;""),IF(AND(BE8=1,BF8=2),3,0),0)+IF(AND(BE9&lt;&gt;"",BF9&lt;&gt;""),IF(AND(BE9=1,BF9=1),3,0),0)</f>
        <v>0</v>
      </c>
      <c r="M18" s="133"/>
      <c r="N18" s="133"/>
      <c r="O18" s="136" t="n">
        <f aca="false">IF(AND(BE4&lt;&gt;"",BF4&lt;&gt;""),IF(AND(BE4=2,BF4=0),3,0),0)+IF(AND(BE5&lt;&gt;"",BF5&lt;&gt;""),IF(AND(BE5=0,BF5=2),3,0),0)+IF(AND(BE6&lt;&gt;"",BF6&lt;&gt;""),IF(AND(BE6=3,BF6=0),3,0),0)+IF(AND(BE7&lt;&gt;"",BF7&lt;&gt;""),IF(AND(BE7=1,BF7=1),3,0),0)+IF(AND(BE8&lt;&gt;"",BF8&lt;&gt;""),IF(AND(BE8=1,BF8=2),3,0),0)+IF(AND(BE9&lt;&gt;"",BF9&lt;&gt;""),IF(AND(BE9=1,BF9=0),3,0),0)</f>
        <v>0</v>
      </c>
      <c r="P18" s="133"/>
      <c r="Q18" s="133"/>
      <c r="R18" s="137" t="n">
        <f aca="false">IF(AND(BE4&lt;&gt;"",BF4&lt;&gt;""),IF(AND(BE4=2,BF4=3),3,0),0)+IF(AND(BE5&lt;&gt;"",BF5&lt;&gt;""),IF(AND(BE5=1,BF5=2),3,0),0)+IF(AND(BE6&lt;&gt;"",BF6&lt;&gt;""),IF(AND(BE6=3,BF6=0),3,0),0)+IF(AND(BE7&lt;&gt;"",BF7&lt;&gt;""),IF(AND(BE7=2,BF7=4),3,0),0)+IF(AND(BE8&lt;&gt;"",BF8&lt;&gt;""),IF(AND(BE8=1,BF8=3),3,0),0)+IF(AND(BE9&lt;&gt;"",BF9&lt;&gt;""),IF(AND(BE9=3,BF9=0),3,0),0)</f>
        <v>0</v>
      </c>
      <c r="S18" s="133"/>
      <c r="T18" s="133"/>
      <c r="U18" s="138" t="n">
        <f aca="false">IF(AND(BE4&lt;&gt;"",BF4&lt;&gt;""),IF(AND(BE4=2,BF4=0),3,0),0)+IF(AND(BE5&lt;&gt;"",BF5&lt;&gt;""),IF(AND(BE5=0,BF5=3),3,0),0)+IF(AND(BE6&lt;&gt;"",BF6&lt;&gt;""),IF(AND(BE6=1,BF6=0),3,0),0)+IF(AND(BE7&lt;&gt;"",BF7&lt;&gt;""),IF(AND(BE7=2,BF7=2),3,0),0)+IF(AND(BE8&lt;&gt;"",BF8&lt;&gt;""),IF(AND(BE8=2,BF8=3),3,0),0)+IF(AND(BE9&lt;&gt;"",BF9&lt;&gt;""),IF(AND(BE9=2,BF9=1),3,0),0)</f>
        <v>0</v>
      </c>
      <c r="V18" s="133"/>
      <c r="W18" s="133"/>
      <c r="X18" s="139" t="n">
        <f aca="false">IF(AND(BE4&lt;&gt;"",BF4&lt;&gt;""),IF(AND(BE4=2,BF4=1),3,0),0)+IF(AND(BE5&lt;&gt;"",BF5&lt;&gt;""),IF(AND(BE5=0,BF5=4),3,0),0)+IF(AND(BE6&lt;&gt;"",BF6&lt;&gt;""),IF(AND(BE6=5,BF6=0),3,0),0)+IF(AND(BE7&lt;&gt;"",BF7&lt;&gt;""),IF(AND(BE7=2,BF7=2),3,0),0)+IF(AND(BE8&lt;&gt;"",BF8&lt;&gt;""),IF(AND(BE8=1,BF8=1),3,0),0)+IF(AND(BE9&lt;&gt;"",BF9&lt;&gt;""),IF(AND(BE9=3,BF9=0),3,0),0)</f>
        <v>0</v>
      </c>
      <c r="Y18" s="133"/>
      <c r="Z18" s="133"/>
      <c r="AA18" s="140" t="n">
        <f aca="false">IF(AND(BE4&lt;&gt;"",BF4&lt;&gt;""),IF(AND(BE4=2,BF4=0),3,0),0)+IF(AND(BE5&lt;&gt;"",BF5&lt;&gt;""),IF(AND(BE5=0,BF5=2),3,0),0)+IF(AND(BE6&lt;&gt;"",BF6&lt;&gt;""),IF(AND(BE6=3,BF6=0),3,0),0)+IF(AND(BE7&lt;&gt;"",BF7&lt;&gt;""),IF(AND(BE7=2,BF7=1),3,0),0)+IF(AND(BE8&lt;&gt;"",BF8&lt;&gt;""),IF(AND(BE8=1,BF8=2),3,0),0)+IF(AND(BE9&lt;&gt;"",BF9&lt;&gt;""),IF(AND(BE9=2,BF9=0),3,0),0)</f>
        <v>0</v>
      </c>
      <c r="AB18" s="133"/>
      <c r="AC18" s="133"/>
      <c r="AD18" s="141" t="n">
        <f aca="false">IF(AND(BE4&lt;&gt;"",BF4&lt;&gt;""),IF(AND(BE4=1,BF4=0),3,0),0)+IF(AND(BE5&lt;&gt;"",BF5&lt;&gt;""),IF(AND(BE5=0,BF5=3),3,0),0)+IF(AND(BE6&lt;&gt;"",BF6&lt;&gt;""),IF(AND(BE6=2,BF6=0),3,0),0)+IF(AND(BE7&lt;&gt;"",BF7&lt;&gt;""),IF(AND(BE7=1,BF7=1),3,0),0)+IF(AND(BE8&lt;&gt;"",BF8&lt;&gt;""),IF(AND(BE8=0,BF8=0),3,0),0)+IF(AND(BE9&lt;&gt;"",BF9&lt;&gt;""),IF(AND(BE9=1,BF9=0),3,0),0)</f>
        <v>0</v>
      </c>
      <c r="AE18" s="133"/>
      <c r="AF18" s="133"/>
      <c r="AG18" s="142" t="n">
        <f aca="false">IF(AND(BE4&lt;&gt;"",BF4&lt;&gt;""),IF(AND(BE4=3,BF4=2),3,0),0)+IF(AND(BE5&lt;&gt;"",BF5&lt;&gt;""),IF(AND(BE5=0,BF5=2),3,0),0)+IF(AND(BE6&lt;&gt;"",BF6&lt;&gt;""),IF(AND(BE6=5,BF6=0),3,0),0)+IF(AND(BE7&lt;&gt;"",BF7&lt;&gt;""),IF(AND(BE7=1,BF7=1),3,0),0)+IF(AND(BE8&lt;&gt;"",BF8&lt;&gt;""),IF(AND(BE8=1,BF8=2),3,0),0)+IF(AND(BE9&lt;&gt;"",BF9&lt;&gt;""),IF(AND(BE9=2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2,BF4=0),3,0),0)+IF(AND(BE5&lt;&gt;"",BF5&lt;&gt;""),IF(AND(BE5=1,BF5=2),3,0),0)+IF(AND(BE6&lt;&gt;"",BF6&lt;&gt;""),IF(AND(BE6=3,BF6=0),3,0),0)+IF(AND(BE7&lt;&gt;"",BF7&lt;&gt;""),IF(AND(BE7=1,BF7=1),3,0),0)+IF(AND(BE8&lt;&gt;"",BF8&lt;&gt;""),IF(AND(BE8=1,BF8=2),3,0),0)+IF(AND(BE9&lt;&gt;"",BF9&lt;&gt;""),IF(AND(BE9=2,BF9=0),3,0),0)</f>
        <v>0</v>
      </c>
      <c r="AN18" s="133"/>
      <c r="AO18" s="133"/>
      <c r="AP18" s="145" t="n">
        <f aca="false">IF(AND(BE4&lt;&gt;"",BF4&lt;&gt;""),IF(AND(BE4=3,BF4=1),3,0),0)+IF(AND(BE5&lt;&gt;"",BF5&lt;&gt;""),IF(AND(BE5=0,BF5=2),3,0),0)+IF(AND(BE6&lt;&gt;"",BF6&lt;&gt;""),IF(AND(BE6=5,BF6=0),3,0),0)+IF(AND(BE7&lt;&gt;"",BF7&lt;&gt;""),IF(AND(BE7=3,BF7=1),3,0),0)+IF(AND(BE8&lt;&gt;"",BF8&lt;&gt;""),IF(AND(BE8=1,BF8=1),3,0),0)+IF(AND(BE9&lt;&gt;"",BF9&lt;&gt;""),IF(AND(BE9=2,BF9=0),3,0),0)</f>
        <v>0</v>
      </c>
      <c r="AQ18" s="133"/>
      <c r="AR18" s="133"/>
      <c r="AS18" s="146" t="n">
        <f aca="false">IF(AND(BE4&lt;&gt;"",BF4&lt;&gt;""),IF(AND(BE4=3,BF4=1),3,0),0)+IF(AND(BE5&lt;&gt;"",BF5&lt;&gt;""),IF(AND(BE5=0,BF5=2),3,0),0)+IF(AND(BE6&lt;&gt;"",BF6&lt;&gt;""),IF(AND(BE6=4,BF6=1),3,0),0)+IF(AND(BE7&lt;&gt;"",BF7&lt;&gt;""),IF(AND(BE7=0,BF7=1),3,0),0)+IF(AND(BE8&lt;&gt;"",BF8&lt;&gt;""),IF(AND(BE8=1,BF8=3),3,0),0)+IF(AND(BE9&lt;&gt;"",BF9&lt;&gt;""),IF(AND(BE9=2,BF9=1),3,0),0)</f>
        <v>0</v>
      </c>
      <c r="AT18" s="133"/>
      <c r="AU18" s="133"/>
      <c r="AV18" s="147" t="n">
        <f aca="false">IF(AND(BE4&lt;&gt;"",BF4&lt;&gt;""),IF(AND(BE4=2,BF4=1),3,0),0)+IF(AND(BE5&lt;&gt;"",BF5&lt;&gt;""),IF(AND(BE5=0,BF5=0),3,0),0)+IF(AND(BE6&lt;&gt;"",BF6&lt;&gt;""),IF(AND(BE6=2,BF6=0),3,0),0)+IF(AND(BE7&lt;&gt;"",BF7&lt;&gt;""),IF(AND(BE7=1,BF7=2),3,0),0)+IF(AND(BE8&lt;&gt;"",BF8&lt;&gt;""),IF(AND(BE8=0,BF8=2),3,0),0)+IF(AND(BE9&lt;&gt;"",BF9&lt;&gt;""),IF(AND(BE9=2,BF9=0),3,0),0)</f>
        <v>0</v>
      </c>
      <c r="AW18" s="133"/>
      <c r="AX18" s="133"/>
      <c r="AY18" s="148" t="n">
        <f aca="false">IF(AND(BE4&lt;&gt;"",BF4&lt;&gt;""),IF(AND(BE4=2,BF4=0),3,0),0)+IF(AND(BE5&lt;&gt;"",BF5&lt;&gt;""),IF(AND(BE5=1,BF5=0),3,0),0)+IF(AND(BE6&lt;&gt;"",BF6&lt;&gt;""),IF(AND(BE6=4,BF6=0),3,0),0)+IF(AND(BE7&lt;&gt;"",BF7&lt;&gt;""),IF(AND(BE7=0,BF7=1),3,0),0)+IF(AND(BE8&lt;&gt;"",BF8&lt;&gt;""),IF(AND(BE8=1,BF8=3),3,0),0)+IF(AND(BE9&lt;&gt;"",BF9&lt;&gt;""),IF(AND(BE9=1,BF9=0),3,0),0)</f>
        <v>0</v>
      </c>
      <c r="AZ18" s="133"/>
      <c r="BA18" s="133"/>
      <c r="BB18" s="149" t="n">
        <f aca="false">IF(AND(BE4&lt;&gt;"",BF4&lt;&gt;""),IF(AND(BE4=2,BF4=0),3,0),0)+IF(AND(BE5&lt;&gt;"",BF5&lt;&gt;""),IF(AND(BE5=1,BF5=3),3,0),0)+IF(AND(BE6&lt;&gt;"",BF6&lt;&gt;""),IF(AND(BE6=3,BF6=0),3,0),0)+IF(AND(BE7&lt;&gt;"",BF7&lt;&gt;""),IF(AND(BE7=1,BF7=1),3,0),0)+IF(AND(BE8&lt;&gt;"",BF8&lt;&gt;""),IF(AND(BE8=1,BF8=2),3,0),0)+IF(AND(BE9&lt;&gt;"",BF9&lt;&gt;""),IF(AND(BE9=2,BF9=0)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IF(C12&lt;&gt;"",IF(C12="Noruega",4,0),0)+IF(C13&lt;&gt;"",IF(C13="Francia",2,0),0)+IF(C14&lt;&gt;"",IF(C14="Senegal",1,0),0)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IF(C12&lt;&gt;"",IF(C12="Francia",4,0),0)+IF(C13&lt;&gt;"",IF(C13="Noruega",2,0),0)+IF(C14&lt;&gt;"",IF(C14="Senegal",1,0),0)</f>
        <v>0</v>
      </c>
      <c r="M19" s="152"/>
      <c r="N19" s="152"/>
      <c r="O19" s="155" t="n">
        <f aca="false">IF(C12&lt;&gt;"",IF(C12="Francia",4,0),0)+IF(C13&lt;&gt;"",IF(C13="Noruega",2,0),0)+IF(C14&lt;&gt;"",IF(C14="Senegal",1,0),0)</f>
        <v>0</v>
      </c>
      <c r="P19" s="152"/>
      <c r="Q19" s="152"/>
      <c r="R19" s="156" t="n">
        <f aca="false">IF(C12&lt;&gt;"",IF(C12="Senegal",4,0),0)+IF(C13&lt;&gt;"",IF(C13="Francia",2,0),0)+IF(C14&lt;&gt;"",IF(C14="Noruega",1,0),0)</f>
        <v>0</v>
      </c>
      <c r="S19" s="152"/>
      <c r="T19" s="152"/>
      <c r="U19" s="157" t="n">
        <f aca="false">IF(C12&lt;&gt;"",IF(C12="Francia",4,0),0)+IF(C13&lt;&gt;"",IF(C13="Noruega",2,0),0)+IF(C14&lt;&gt;"",IF(C14="Senegal",1,0),0)</f>
        <v>0</v>
      </c>
      <c r="V19" s="152"/>
      <c r="W19" s="152"/>
      <c r="X19" s="158" t="n">
        <f aca="false">IF(C12&lt;&gt;"",IF(C12="Francia",4,0),0)+IF(C13&lt;&gt;"",IF(C13="Noruega",2,0),0)+IF(C14&lt;&gt;"",IF(C14="Senegal",1,0),0)</f>
        <v>0</v>
      </c>
      <c r="Y19" s="152"/>
      <c r="Z19" s="152"/>
      <c r="AA19" s="159" t="n">
        <f aca="false">IF(C12&lt;&gt;"",IF(C12="Francia",4,0),0)+IF(C13&lt;&gt;"",IF(C13="Noruega",2,0),0)+IF(C14&lt;&gt;"",IF(C14="Senegal",1,0),0)</f>
        <v>0</v>
      </c>
      <c r="AB19" s="152"/>
      <c r="AC19" s="152"/>
      <c r="AD19" s="160" t="n">
        <f aca="false">IF(C12&lt;&gt;"",IF(C12="FRANCIA",4,0),0)+IF(C13&lt;&gt;"",IF(C13="SENEGAL",2,0),0)+IF(C14&lt;&gt;"",IF(C14="NORUEGA",1,0),0)</f>
        <v>0</v>
      </c>
      <c r="AE19" s="152"/>
      <c r="AF19" s="152"/>
      <c r="AG19" s="161" t="n">
        <f aca="false">IF(C12&lt;&gt;"",IF(C12="FRANCIA",4,0),0)+IF(C13&lt;&gt;"",IF(C13="NORUEGA",2,0),0)+IF(C14&lt;&gt;"",IF(C14="SENEGAL",1,0),0)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IF(C12&lt;&gt;"",IF(C12="Francia",4,0),0)+IF(C13&lt;&gt;"",IF(C13="Noruega",2,0),0)+IF(C14&lt;&gt;"",IF(C14="Senegal",1,0),0)</f>
        <v>0</v>
      </c>
      <c r="AN19" s="152"/>
      <c r="AO19" s="152"/>
      <c r="AP19" s="164" t="n">
        <f aca="false">IF(C12&lt;&gt;"",IF(C12="Francia",4,0),0)+IF(C13&lt;&gt;"",IF(C13="Noruega",2,0),0)+IF(C14&lt;&gt;"",IF(C14="Senegal",1,0),0)</f>
        <v>0</v>
      </c>
      <c r="AQ19" s="152"/>
      <c r="AR19" s="152"/>
      <c r="AS19" s="165" t="n">
        <f aca="false">IF(C12&lt;&gt;"",IF(C12="Francia",4,0),0)+IF(C13&lt;&gt;"",IF(C13="Senegal",2,0),0)+IF(C14&lt;&gt;"",IF(C14="Noruega",1,0),0)</f>
        <v>0</v>
      </c>
      <c r="AT19" s="152"/>
      <c r="AU19" s="152"/>
      <c r="AV19" s="166" t="n">
        <f aca="false">IF(C12&lt;&gt;"",IF(C12="francia",4,0),0)+IF(C13&lt;&gt;"",IF(C13="Senegal",2,0),0)+IF(C14&lt;&gt;"",IF(C14="noruega",1,0),0)</f>
        <v>0</v>
      </c>
      <c r="AW19" s="152"/>
      <c r="AX19" s="152"/>
      <c r="AY19" s="167" t="n">
        <f aca="false">IF(C12&lt;&gt;"",IF(C12="Francia",4,0),0)+IF(C13&lt;&gt;"",IF(C13="Noruega",2,0),0)+IF(C14&lt;&gt;"",IF(C14="Irak",1,0),0)</f>
        <v>0</v>
      </c>
      <c r="AZ19" s="152"/>
      <c r="BA19" s="152"/>
      <c r="BB19" s="168" t="n">
        <f aca="false">IF(C12&lt;&gt;"",IF(C12="Francia",4,0),0)+IF(C13&lt;&gt;"",IF(C13="Noruega",2,0),0)+IF(C14&lt;&gt;"",IF(C14="Senegal",1,0),0)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174</v>
      </c>
      <c r="C4" s="80" t="s">
        <v>35</v>
      </c>
      <c r="D4" s="81" t="s">
        <v>175</v>
      </c>
      <c r="E4" s="80"/>
      <c r="F4" s="82" t="n">
        <v>0</v>
      </c>
      <c r="G4" s="82" t="n">
        <v>1</v>
      </c>
      <c r="H4" s="82" t="s">
        <v>37</v>
      </c>
      <c r="I4" s="82"/>
      <c r="J4" s="82"/>
      <c r="K4" s="82"/>
      <c r="L4" s="82" t="n">
        <v>3</v>
      </c>
      <c r="M4" s="82" t="n">
        <v>1</v>
      </c>
      <c r="N4" s="82" t="s">
        <v>37</v>
      </c>
      <c r="O4" s="82" t="n">
        <v>3</v>
      </c>
      <c r="P4" s="82" t="n">
        <v>0</v>
      </c>
      <c r="Q4" s="82" t="s">
        <v>37</v>
      </c>
      <c r="R4" s="82" t="n">
        <v>4</v>
      </c>
      <c r="S4" s="82" t="n">
        <v>0</v>
      </c>
      <c r="T4" s="82" t="s">
        <v>37</v>
      </c>
      <c r="U4" s="82" t="n">
        <v>3</v>
      </c>
      <c r="V4" s="82" t="n">
        <v>1</v>
      </c>
      <c r="W4" s="82" t="s">
        <v>37</v>
      </c>
      <c r="X4" s="82" t="n">
        <v>1</v>
      </c>
      <c r="Y4" s="82" t="n">
        <v>1</v>
      </c>
      <c r="Z4" s="82" t="s">
        <v>37</v>
      </c>
      <c r="AA4" s="82" t="n">
        <v>3</v>
      </c>
      <c r="AB4" s="82" t="n">
        <v>0</v>
      </c>
      <c r="AC4" s="82" t="s">
        <v>37</v>
      </c>
      <c r="AD4" s="82" t="n">
        <v>1</v>
      </c>
      <c r="AE4" s="82" t="n">
        <v>0</v>
      </c>
      <c r="AF4" s="82" t="s">
        <v>37</v>
      </c>
      <c r="AG4" s="82" t="n">
        <v>3</v>
      </c>
      <c r="AH4" s="82" t="n">
        <v>1</v>
      </c>
      <c r="AI4" s="82" t="s">
        <v>37</v>
      </c>
      <c r="AJ4" s="82"/>
      <c r="AK4" s="82"/>
      <c r="AL4" s="82"/>
      <c r="AM4" s="82" t="n">
        <v>3</v>
      </c>
      <c r="AN4" s="82" t="n">
        <v>1</v>
      </c>
      <c r="AO4" s="82" t="s">
        <v>37</v>
      </c>
      <c r="AP4" s="82" t="n">
        <v>3</v>
      </c>
      <c r="AQ4" s="82" t="n">
        <v>0</v>
      </c>
      <c r="AR4" s="82" t="s">
        <v>37</v>
      </c>
      <c r="AS4" s="82" t="n">
        <v>3</v>
      </c>
      <c r="AT4" s="82" t="n">
        <v>1</v>
      </c>
      <c r="AU4" s="82" t="s">
        <v>37</v>
      </c>
      <c r="AV4" s="82" t="n">
        <v>2</v>
      </c>
      <c r="AW4" s="82" t="n">
        <v>0</v>
      </c>
      <c r="AX4" s="82" t="s">
        <v>37</v>
      </c>
      <c r="AY4" s="82" t="n">
        <v>2</v>
      </c>
      <c r="AZ4" s="82" t="n">
        <v>0</v>
      </c>
      <c r="BA4" s="82" t="s">
        <v>37</v>
      </c>
      <c r="BB4" s="82" t="n">
        <v>3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176</v>
      </c>
      <c r="C5" s="84" t="s">
        <v>35</v>
      </c>
      <c r="D5" s="85" t="s">
        <v>177</v>
      </c>
      <c r="E5" s="84"/>
      <c r="F5" s="86" t="n">
        <v>2</v>
      </c>
      <c r="G5" s="86" t="n">
        <v>0</v>
      </c>
      <c r="H5" s="86" t="s">
        <v>37</v>
      </c>
      <c r="I5" s="86"/>
      <c r="J5" s="86"/>
      <c r="K5" s="86"/>
      <c r="L5" s="86" t="n">
        <v>2</v>
      </c>
      <c r="M5" s="86" t="n">
        <v>1</v>
      </c>
      <c r="N5" s="86" t="s">
        <v>37</v>
      </c>
      <c r="O5" s="86" t="n">
        <v>2</v>
      </c>
      <c r="P5" s="86" t="n">
        <v>0</v>
      </c>
      <c r="Q5" s="86" t="s">
        <v>37</v>
      </c>
      <c r="R5" s="86" t="n">
        <v>3</v>
      </c>
      <c r="S5" s="86" t="n">
        <v>1</v>
      </c>
      <c r="T5" s="86" t="s">
        <v>37</v>
      </c>
      <c r="U5" s="86" t="n">
        <v>4</v>
      </c>
      <c r="V5" s="86" t="n">
        <v>0</v>
      </c>
      <c r="W5" s="86" t="s">
        <v>37</v>
      </c>
      <c r="X5" s="86" t="n">
        <v>3</v>
      </c>
      <c r="Y5" s="86" t="n">
        <v>0</v>
      </c>
      <c r="Z5" s="86" t="s">
        <v>37</v>
      </c>
      <c r="AA5" s="86" t="n">
        <v>3</v>
      </c>
      <c r="AB5" s="86" t="n">
        <v>0</v>
      </c>
      <c r="AC5" s="86" t="s">
        <v>37</v>
      </c>
      <c r="AD5" s="86" t="n">
        <v>2</v>
      </c>
      <c r="AE5" s="86" t="n">
        <v>1</v>
      </c>
      <c r="AF5" s="86" t="s">
        <v>38</v>
      </c>
      <c r="AG5" s="86" t="n">
        <v>3</v>
      </c>
      <c r="AH5" s="86" t="n">
        <v>0</v>
      </c>
      <c r="AI5" s="86" t="s">
        <v>37</v>
      </c>
      <c r="AJ5" s="86"/>
      <c r="AK5" s="86"/>
      <c r="AL5" s="86"/>
      <c r="AM5" s="86" t="n">
        <v>2</v>
      </c>
      <c r="AN5" s="86" t="n">
        <v>0</v>
      </c>
      <c r="AO5" s="86" t="s">
        <v>37</v>
      </c>
      <c r="AP5" s="86" t="n">
        <v>2</v>
      </c>
      <c r="AQ5" s="86" t="n">
        <v>0</v>
      </c>
      <c r="AR5" s="86" t="s">
        <v>37</v>
      </c>
      <c r="AS5" s="86" t="n">
        <v>2</v>
      </c>
      <c r="AT5" s="86" t="n">
        <v>1</v>
      </c>
      <c r="AU5" s="86" t="s">
        <v>37</v>
      </c>
      <c r="AV5" s="86" t="n">
        <v>1</v>
      </c>
      <c r="AW5" s="86" t="n">
        <v>0</v>
      </c>
      <c r="AX5" s="86" t="s">
        <v>37</v>
      </c>
      <c r="AY5" s="86" t="n">
        <v>1</v>
      </c>
      <c r="AZ5" s="86" t="n">
        <v>0</v>
      </c>
      <c r="BA5" s="86" t="s">
        <v>38</v>
      </c>
      <c r="BB5" s="86" t="n">
        <v>2</v>
      </c>
      <c r="BC5" s="86" t="n">
        <v>0</v>
      </c>
      <c r="BD5" s="86" t="s">
        <v>37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174</v>
      </c>
      <c r="C6" s="80" t="s">
        <v>35</v>
      </c>
      <c r="D6" s="81" t="s">
        <v>176</v>
      </c>
      <c r="E6" s="80"/>
      <c r="F6" s="82" t="n">
        <v>2</v>
      </c>
      <c r="G6" s="82" t="n">
        <v>0</v>
      </c>
      <c r="H6" s="82" t="s">
        <v>37</v>
      </c>
      <c r="I6" s="82"/>
      <c r="J6" s="82"/>
      <c r="K6" s="82"/>
      <c r="L6" s="82" t="n">
        <v>2</v>
      </c>
      <c r="M6" s="82" t="n">
        <v>1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3</v>
      </c>
      <c r="S6" s="82" t="n">
        <v>1</v>
      </c>
      <c r="T6" s="82" t="s">
        <v>37</v>
      </c>
      <c r="U6" s="82" t="n">
        <v>2</v>
      </c>
      <c r="V6" s="82" t="n">
        <v>1</v>
      </c>
      <c r="W6" s="82" t="s">
        <v>37</v>
      </c>
      <c r="X6" s="82" t="n">
        <v>2</v>
      </c>
      <c r="Y6" s="82" t="n">
        <v>1</v>
      </c>
      <c r="Z6" s="82" t="s">
        <v>37</v>
      </c>
      <c r="AA6" s="82" t="n">
        <v>2</v>
      </c>
      <c r="AB6" s="82" t="n">
        <v>0</v>
      </c>
      <c r="AC6" s="82" t="s">
        <v>37</v>
      </c>
      <c r="AD6" s="82" t="n">
        <v>2</v>
      </c>
      <c r="AE6" s="82" t="n">
        <v>0</v>
      </c>
      <c r="AF6" s="82" t="s">
        <v>38</v>
      </c>
      <c r="AG6" s="82" t="n">
        <v>2</v>
      </c>
      <c r="AH6" s="82" t="n">
        <v>1</v>
      </c>
      <c r="AI6" s="82" t="s">
        <v>37</v>
      </c>
      <c r="AJ6" s="82"/>
      <c r="AK6" s="82"/>
      <c r="AL6" s="82"/>
      <c r="AM6" s="82" t="n">
        <v>2</v>
      </c>
      <c r="AN6" s="82" t="n">
        <v>0</v>
      </c>
      <c r="AO6" s="82" t="s">
        <v>37</v>
      </c>
      <c r="AP6" s="82" t="n">
        <v>2</v>
      </c>
      <c r="AQ6" s="82" t="n">
        <v>1</v>
      </c>
      <c r="AR6" s="82" t="s">
        <v>37</v>
      </c>
      <c r="AS6" s="82" t="n">
        <v>2</v>
      </c>
      <c r="AT6" s="82" t="n">
        <v>1</v>
      </c>
      <c r="AU6" s="82" t="s">
        <v>37</v>
      </c>
      <c r="AV6" s="82" t="n">
        <v>1</v>
      </c>
      <c r="AW6" s="82" t="n">
        <v>0</v>
      </c>
      <c r="AX6" s="82" t="s">
        <v>37</v>
      </c>
      <c r="AY6" s="82" t="n">
        <v>2</v>
      </c>
      <c r="AZ6" s="82" t="n">
        <v>0</v>
      </c>
      <c r="BA6" s="82" t="s">
        <v>37</v>
      </c>
      <c r="BB6" s="82" t="n">
        <v>2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175</v>
      </c>
      <c r="C7" s="84" t="s">
        <v>35</v>
      </c>
      <c r="D7" s="85" t="s">
        <v>177</v>
      </c>
      <c r="E7" s="84"/>
      <c r="F7" s="86" t="n">
        <v>1</v>
      </c>
      <c r="G7" s="86" t="n">
        <v>0</v>
      </c>
      <c r="H7" s="86" t="s">
        <v>37</v>
      </c>
      <c r="I7" s="86"/>
      <c r="J7" s="86"/>
      <c r="K7" s="86"/>
      <c r="L7" s="86" t="n">
        <v>1</v>
      </c>
      <c r="M7" s="86" t="n">
        <v>1</v>
      </c>
      <c r="N7" s="86" t="s">
        <v>37</v>
      </c>
      <c r="O7" s="86" t="n">
        <v>1</v>
      </c>
      <c r="P7" s="86" t="n">
        <v>0</v>
      </c>
      <c r="Q7" s="86" t="s">
        <v>37</v>
      </c>
      <c r="R7" s="86" t="n">
        <v>2</v>
      </c>
      <c r="S7" s="86" t="n">
        <v>3</v>
      </c>
      <c r="T7" s="86" t="s">
        <v>41</v>
      </c>
      <c r="U7" s="86" t="n">
        <v>2</v>
      </c>
      <c r="V7" s="86" t="n">
        <v>0</v>
      </c>
      <c r="W7" s="86" t="s">
        <v>37</v>
      </c>
      <c r="X7" s="86" t="n">
        <v>2</v>
      </c>
      <c r="Y7" s="86" t="n">
        <v>0</v>
      </c>
      <c r="Z7" s="86" t="s">
        <v>37</v>
      </c>
      <c r="AA7" s="86" t="n">
        <v>1</v>
      </c>
      <c r="AB7" s="86" t="n">
        <v>0</v>
      </c>
      <c r="AC7" s="86" t="s">
        <v>37</v>
      </c>
      <c r="AD7" s="86" t="n">
        <v>1</v>
      </c>
      <c r="AE7" s="86" t="n">
        <v>0</v>
      </c>
      <c r="AF7" s="86" t="s">
        <v>38</v>
      </c>
      <c r="AG7" s="86" t="n">
        <v>3</v>
      </c>
      <c r="AH7" s="86" t="n">
        <v>1</v>
      </c>
      <c r="AI7" s="86" t="s">
        <v>37</v>
      </c>
      <c r="AJ7" s="86"/>
      <c r="AK7" s="86"/>
      <c r="AL7" s="86"/>
      <c r="AM7" s="86" t="n">
        <v>1</v>
      </c>
      <c r="AN7" s="86" t="n">
        <v>1</v>
      </c>
      <c r="AO7" s="86" t="s">
        <v>38</v>
      </c>
      <c r="AP7" s="86" t="n">
        <v>1</v>
      </c>
      <c r="AQ7" s="86" t="n">
        <v>1</v>
      </c>
      <c r="AR7" s="86" t="s">
        <v>37</v>
      </c>
      <c r="AS7" s="86" t="n">
        <v>1</v>
      </c>
      <c r="AT7" s="86" t="n">
        <v>1</v>
      </c>
      <c r="AU7" s="86" t="s">
        <v>38</v>
      </c>
      <c r="AV7" s="86" t="n">
        <v>1</v>
      </c>
      <c r="AW7" s="86" t="n">
        <v>0</v>
      </c>
      <c r="AX7" s="86" t="s">
        <v>37</v>
      </c>
      <c r="AY7" s="86" t="n">
        <v>1</v>
      </c>
      <c r="AZ7" s="86" t="n">
        <v>0</v>
      </c>
      <c r="BA7" s="86" t="s">
        <v>38</v>
      </c>
      <c r="BB7" s="86" t="n">
        <v>1</v>
      </c>
      <c r="BC7" s="86" t="n">
        <v>0</v>
      </c>
      <c r="BD7" s="86" t="s">
        <v>37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177</v>
      </c>
      <c r="C8" s="80" t="s">
        <v>35</v>
      </c>
      <c r="D8" s="81" t="s">
        <v>174</v>
      </c>
      <c r="E8" s="80"/>
      <c r="F8" s="82" t="n">
        <v>1</v>
      </c>
      <c r="G8" s="82" t="n">
        <v>3</v>
      </c>
      <c r="H8" s="82" t="s">
        <v>41</v>
      </c>
      <c r="I8" s="82"/>
      <c r="J8" s="82"/>
      <c r="K8" s="82"/>
      <c r="L8" s="82" t="n">
        <v>1</v>
      </c>
      <c r="M8" s="82" t="n">
        <v>4</v>
      </c>
      <c r="N8" s="82" t="s">
        <v>41</v>
      </c>
      <c r="O8" s="82" t="n">
        <v>0</v>
      </c>
      <c r="P8" s="82" t="n">
        <v>2</v>
      </c>
      <c r="Q8" s="82" t="s">
        <v>41</v>
      </c>
      <c r="R8" s="82" t="n">
        <v>1</v>
      </c>
      <c r="S8" s="82" t="n">
        <v>3</v>
      </c>
      <c r="T8" s="82" t="s">
        <v>41</v>
      </c>
      <c r="U8" s="82" t="n">
        <v>0</v>
      </c>
      <c r="V8" s="82" t="n">
        <v>6</v>
      </c>
      <c r="W8" s="82" t="s">
        <v>41</v>
      </c>
      <c r="X8" s="82" t="n">
        <v>0</v>
      </c>
      <c r="Y8" s="82" t="n">
        <v>4</v>
      </c>
      <c r="Z8" s="82" t="s">
        <v>41</v>
      </c>
      <c r="AA8" s="82" t="n">
        <v>0</v>
      </c>
      <c r="AB8" s="82" t="n">
        <v>2</v>
      </c>
      <c r="AC8" s="82" t="s">
        <v>41</v>
      </c>
      <c r="AD8" s="82" t="n">
        <v>0</v>
      </c>
      <c r="AE8" s="82" t="n">
        <v>2</v>
      </c>
      <c r="AF8" s="82" t="s">
        <v>41</v>
      </c>
      <c r="AG8" s="82" t="n">
        <v>0</v>
      </c>
      <c r="AH8" s="82" t="n">
        <v>4</v>
      </c>
      <c r="AI8" s="82" t="s">
        <v>41</v>
      </c>
      <c r="AJ8" s="82"/>
      <c r="AK8" s="82"/>
      <c r="AL8" s="82"/>
      <c r="AM8" s="82" t="n">
        <v>0</v>
      </c>
      <c r="AN8" s="82" t="n">
        <v>3</v>
      </c>
      <c r="AO8" s="82" t="s">
        <v>41</v>
      </c>
      <c r="AP8" s="82" t="n">
        <v>0</v>
      </c>
      <c r="AQ8" s="82" t="n">
        <v>2</v>
      </c>
      <c r="AR8" s="82" t="s">
        <v>41</v>
      </c>
      <c r="AS8" s="82" t="n">
        <v>0</v>
      </c>
      <c r="AT8" s="82" t="n">
        <v>2</v>
      </c>
      <c r="AU8" s="82" t="s">
        <v>41</v>
      </c>
      <c r="AV8" s="82" t="n">
        <v>0</v>
      </c>
      <c r="AW8" s="82" t="n">
        <v>2</v>
      </c>
      <c r="AX8" s="82" t="s">
        <v>41</v>
      </c>
      <c r="AY8" s="82" t="n">
        <v>1</v>
      </c>
      <c r="AZ8" s="82" t="n">
        <v>3</v>
      </c>
      <c r="BA8" s="82" t="s">
        <v>41</v>
      </c>
      <c r="BB8" s="82" t="n">
        <v>0</v>
      </c>
      <c r="BC8" s="82" t="n">
        <v>3</v>
      </c>
      <c r="BD8" s="82" t="s">
        <v>41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175</v>
      </c>
      <c r="C9" s="84" t="s">
        <v>35</v>
      </c>
      <c r="D9" s="85" t="s">
        <v>176</v>
      </c>
      <c r="E9" s="84"/>
      <c r="F9" s="86" t="n">
        <v>0</v>
      </c>
      <c r="G9" s="86" t="n">
        <v>1</v>
      </c>
      <c r="H9" s="86" t="s">
        <v>41</v>
      </c>
      <c r="I9" s="86"/>
      <c r="J9" s="86"/>
      <c r="K9" s="86"/>
      <c r="L9" s="86" t="n">
        <v>1</v>
      </c>
      <c r="M9" s="86" t="n">
        <v>2</v>
      </c>
      <c r="N9" s="86" t="s">
        <v>38</v>
      </c>
      <c r="O9" s="86" t="n">
        <v>0</v>
      </c>
      <c r="P9" s="86" t="n">
        <v>1</v>
      </c>
      <c r="Q9" s="86" t="s">
        <v>41</v>
      </c>
      <c r="R9" s="86" t="n">
        <v>1</v>
      </c>
      <c r="S9" s="86" t="n">
        <v>2</v>
      </c>
      <c r="T9" s="86" t="s">
        <v>41</v>
      </c>
      <c r="U9" s="86" t="n">
        <v>2</v>
      </c>
      <c r="V9" s="86" t="n">
        <v>2</v>
      </c>
      <c r="W9" s="86" t="s">
        <v>38</v>
      </c>
      <c r="X9" s="86" t="n">
        <v>1</v>
      </c>
      <c r="Y9" s="86" t="n">
        <v>1</v>
      </c>
      <c r="Z9" s="86" t="s">
        <v>38</v>
      </c>
      <c r="AA9" s="86" t="n">
        <v>1</v>
      </c>
      <c r="AB9" s="86" t="n">
        <v>2</v>
      </c>
      <c r="AC9" s="86" t="s">
        <v>41</v>
      </c>
      <c r="AD9" s="86" t="n">
        <v>1</v>
      </c>
      <c r="AE9" s="86" t="n">
        <v>1</v>
      </c>
      <c r="AF9" s="86" t="s">
        <v>37</v>
      </c>
      <c r="AG9" s="86" t="n">
        <v>2</v>
      </c>
      <c r="AH9" s="86" t="n">
        <v>2</v>
      </c>
      <c r="AI9" s="86" t="s">
        <v>41</v>
      </c>
      <c r="AJ9" s="86"/>
      <c r="AK9" s="86"/>
      <c r="AL9" s="86"/>
      <c r="AM9" s="86" t="n">
        <v>1</v>
      </c>
      <c r="AN9" s="86" t="n">
        <v>2</v>
      </c>
      <c r="AO9" s="86" t="s">
        <v>41</v>
      </c>
      <c r="AP9" s="86" t="n">
        <v>1</v>
      </c>
      <c r="AQ9" s="86" t="n">
        <v>1</v>
      </c>
      <c r="AR9" s="86" t="s">
        <v>41</v>
      </c>
      <c r="AS9" s="86" t="n">
        <v>1</v>
      </c>
      <c r="AT9" s="86" t="n">
        <v>1</v>
      </c>
      <c r="AU9" s="86" t="s">
        <v>38</v>
      </c>
      <c r="AV9" s="86" t="n">
        <v>1</v>
      </c>
      <c r="AW9" s="86" t="n">
        <v>1</v>
      </c>
      <c r="AX9" s="86" t="s">
        <v>38</v>
      </c>
      <c r="AY9" s="86" t="n">
        <v>1</v>
      </c>
      <c r="AZ9" s="86" t="n">
        <v>0</v>
      </c>
      <c r="BA9" s="86" t="s">
        <v>38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174</v>
      </c>
      <c r="G12" s="90"/>
      <c r="H12" s="90"/>
      <c r="I12" s="91"/>
      <c r="J12" s="91"/>
      <c r="K12" s="91"/>
      <c r="L12" s="92" t="s">
        <v>174</v>
      </c>
      <c r="M12" s="92"/>
      <c r="N12" s="92"/>
      <c r="O12" s="93" t="s">
        <v>174</v>
      </c>
      <c r="P12" s="93"/>
      <c r="Q12" s="93"/>
      <c r="R12" s="94" t="s">
        <v>174</v>
      </c>
      <c r="S12" s="94"/>
      <c r="T12" s="94"/>
      <c r="U12" s="95" t="s">
        <v>174</v>
      </c>
      <c r="V12" s="95"/>
      <c r="W12" s="95"/>
      <c r="X12" s="96" t="s">
        <v>174</v>
      </c>
      <c r="Y12" s="96"/>
      <c r="Z12" s="96"/>
      <c r="AA12" s="97" t="s">
        <v>174</v>
      </c>
      <c r="AB12" s="97"/>
      <c r="AC12" s="97"/>
      <c r="AD12" s="98" t="s">
        <v>178</v>
      </c>
      <c r="AE12" s="98"/>
      <c r="AF12" s="98"/>
      <c r="AG12" s="99" t="s">
        <v>178</v>
      </c>
      <c r="AH12" s="99"/>
      <c r="AI12" s="99"/>
      <c r="AJ12" s="100"/>
      <c r="AK12" s="100"/>
      <c r="AL12" s="100"/>
      <c r="AM12" s="101" t="s">
        <v>174</v>
      </c>
      <c r="AN12" s="101"/>
      <c r="AO12" s="101"/>
      <c r="AP12" s="102" t="s">
        <v>174</v>
      </c>
      <c r="AQ12" s="102"/>
      <c r="AR12" s="102"/>
      <c r="AS12" s="103" t="s">
        <v>174</v>
      </c>
      <c r="AT12" s="103"/>
      <c r="AU12" s="103"/>
      <c r="AV12" s="104" t="s">
        <v>174</v>
      </c>
      <c r="AW12" s="104"/>
      <c r="AX12" s="104"/>
      <c r="AY12" s="105" t="s">
        <v>174</v>
      </c>
      <c r="AZ12" s="105"/>
      <c r="BA12" s="105"/>
      <c r="BB12" s="106" t="s">
        <v>174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176</v>
      </c>
      <c r="G13" s="90"/>
      <c r="H13" s="90"/>
      <c r="I13" s="91"/>
      <c r="J13" s="91"/>
      <c r="K13" s="91"/>
      <c r="L13" s="92" t="s">
        <v>176</v>
      </c>
      <c r="M13" s="92"/>
      <c r="N13" s="92"/>
      <c r="O13" s="93" t="s">
        <v>176</v>
      </c>
      <c r="P13" s="93"/>
      <c r="Q13" s="93"/>
      <c r="R13" s="94" t="s">
        <v>176</v>
      </c>
      <c r="S13" s="94"/>
      <c r="T13" s="94"/>
      <c r="U13" s="95" t="s">
        <v>176</v>
      </c>
      <c r="V13" s="95"/>
      <c r="W13" s="95"/>
      <c r="X13" s="96" t="s">
        <v>176</v>
      </c>
      <c r="Y13" s="96"/>
      <c r="Z13" s="96"/>
      <c r="AA13" s="97" t="s">
        <v>176</v>
      </c>
      <c r="AB13" s="97"/>
      <c r="AC13" s="97"/>
      <c r="AD13" s="98" t="s">
        <v>179</v>
      </c>
      <c r="AE13" s="98"/>
      <c r="AF13" s="98"/>
      <c r="AG13" s="99" t="s">
        <v>180</v>
      </c>
      <c r="AH13" s="99"/>
      <c r="AI13" s="99"/>
      <c r="AJ13" s="100"/>
      <c r="AK13" s="100"/>
      <c r="AL13" s="100"/>
      <c r="AM13" s="101" t="s">
        <v>176</v>
      </c>
      <c r="AN13" s="101"/>
      <c r="AO13" s="101"/>
      <c r="AP13" s="102" t="s">
        <v>176</v>
      </c>
      <c r="AQ13" s="102"/>
      <c r="AR13" s="102"/>
      <c r="AS13" s="103" t="s">
        <v>176</v>
      </c>
      <c r="AT13" s="103"/>
      <c r="AU13" s="103"/>
      <c r="AV13" s="104" t="s">
        <v>176</v>
      </c>
      <c r="AW13" s="104"/>
      <c r="AX13" s="104"/>
      <c r="AY13" s="105" t="s">
        <v>176</v>
      </c>
      <c r="AZ13" s="105"/>
      <c r="BA13" s="105"/>
      <c r="BB13" s="106" t="s">
        <v>176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175</v>
      </c>
      <c r="G14" s="90"/>
      <c r="H14" s="90"/>
      <c r="I14" s="91"/>
      <c r="J14" s="91"/>
      <c r="K14" s="91"/>
      <c r="L14" s="92" t="s">
        <v>175</v>
      </c>
      <c r="M14" s="92"/>
      <c r="N14" s="92"/>
      <c r="O14" s="93" t="s">
        <v>175</v>
      </c>
      <c r="P14" s="93"/>
      <c r="Q14" s="93"/>
      <c r="R14" s="94" t="s">
        <v>177</v>
      </c>
      <c r="S14" s="94"/>
      <c r="T14" s="94"/>
      <c r="U14" s="95" t="s">
        <v>175</v>
      </c>
      <c r="V14" s="95"/>
      <c r="W14" s="95"/>
      <c r="X14" s="96" t="s">
        <v>175</v>
      </c>
      <c r="Y14" s="96"/>
      <c r="Z14" s="96"/>
      <c r="AA14" s="97" t="s">
        <v>175</v>
      </c>
      <c r="AB14" s="97"/>
      <c r="AC14" s="97"/>
      <c r="AD14" s="98" t="s">
        <v>180</v>
      </c>
      <c r="AE14" s="98"/>
      <c r="AF14" s="98"/>
      <c r="AG14" s="99" t="s">
        <v>179</v>
      </c>
      <c r="AH14" s="99"/>
      <c r="AI14" s="99"/>
      <c r="AJ14" s="100"/>
      <c r="AK14" s="100"/>
      <c r="AL14" s="100"/>
      <c r="AM14" s="101" t="s">
        <v>175</v>
      </c>
      <c r="AN14" s="101"/>
      <c r="AO14" s="101"/>
      <c r="AP14" s="102" t="s">
        <v>175</v>
      </c>
      <c r="AQ14" s="102"/>
      <c r="AR14" s="102"/>
      <c r="AS14" s="103" t="s">
        <v>175</v>
      </c>
      <c r="AT14" s="103"/>
      <c r="AU14" s="103"/>
      <c r="AV14" s="104" t="s">
        <v>175</v>
      </c>
      <c r="AW14" s="104"/>
      <c r="AX14" s="104"/>
      <c r="AY14" s="105" t="s">
        <v>175</v>
      </c>
      <c r="AZ14" s="105"/>
      <c r="BA14" s="105"/>
      <c r="BB14" s="106" t="s">
        <v>175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2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X",1,0),0)+IF(AND(BE7&lt;&gt;"",BF7&lt;&gt;""),IF(IF(BE7&gt;BF7,"1",IF(BE7&lt;BF7,"2","X"))="X",1,0),0)+IF(AND(BE8&lt;&gt;"",BF8&lt;&gt;""),IF(IF(BE8&gt;BF8,"1",IF(BE8&lt;BF8,"2","X"))="2",1,0),0)+IF(AND(BE9&lt;&gt;"",BF9&lt;&gt;""),IF(IF(BE9&gt;BF9,"1",IF(BE9&lt;BF9,"2","X"))="1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2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2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1",1,0),0)+IF(AND(BE8&lt;&gt;"",BF8&lt;&gt;""),IF(IF(BE8&gt;BF8,"1",IF(BE8&lt;BF8,"2","X"))="2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0,BF4=1),3,0),0)+IF(AND(BE5&lt;&gt;"",BF5&lt;&gt;""),IF(AND(BE5=2,BF5=0),3,0),0)+IF(AND(BE6&lt;&gt;"",BF6&lt;&gt;""),IF(AND(BE6=2,BF6=0),3,0),0)+IF(AND(BE7&lt;&gt;"",BF7&lt;&gt;""),IF(AND(BE7=1,BF7=0),3,0),0)+IF(AND(BE8&lt;&gt;"",BF8&lt;&gt;""),IF(AND(BE8=1,BF8=3),3,0),0)+IF(AND(BE9&lt;&gt;"",BF9&lt;&gt;""),IF(AND(BE9=0,BF9=1)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3,BF4=1),3,0),0)+IF(AND(BE5&lt;&gt;"",BF5&lt;&gt;""),IF(AND(BE5=2,BF5=1),3,0),0)+IF(AND(BE6&lt;&gt;"",BF6&lt;&gt;""),IF(AND(BE6=2,BF6=1),3,0),0)+IF(AND(BE7&lt;&gt;"",BF7&lt;&gt;""),IF(AND(BE7=1,BF7=1),3,0),0)+IF(AND(BE8&lt;&gt;"",BF8&lt;&gt;""),IF(AND(BE8=1,BF8=4),3,0),0)+IF(AND(BE9&lt;&gt;"",BF9&lt;&gt;""),IF(AND(BE9=1,BF9=2),3,0),0)</f>
        <v>0</v>
      </c>
      <c r="M18" s="133"/>
      <c r="N18" s="133"/>
      <c r="O18" s="136" t="n">
        <f aca="false">IF(AND(BE4&lt;&gt;"",BF4&lt;&gt;""),IF(AND(BE4=3,BF4=0),3,0),0)+IF(AND(BE5&lt;&gt;"",BF5&lt;&gt;""),IF(AND(BE5=2,BF5=0),3,0),0)+IF(AND(BE6&lt;&gt;"",BF6&lt;&gt;""),IF(AND(BE6=2,BF6=0),3,0),0)+IF(AND(BE7&lt;&gt;"",BF7&lt;&gt;""),IF(AND(BE7=1,BF7=0),3,0),0)+IF(AND(BE8&lt;&gt;"",BF8&lt;&gt;""),IF(AND(BE8=0,BF8=2),3,0),0)+IF(AND(BE9&lt;&gt;"",BF9&lt;&gt;""),IF(AND(BE9=0,BF9=1),3,0),0)</f>
        <v>0</v>
      </c>
      <c r="P18" s="133"/>
      <c r="Q18" s="133"/>
      <c r="R18" s="137" t="n">
        <f aca="false">IF(AND(BE4&lt;&gt;"",BF4&lt;&gt;""),IF(AND(BE4=4,BF4=0),3,0),0)+IF(AND(BE5&lt;&gt;"",BF5&lt;&gt;""),IF(AND(BE5=3,BF5=1),3,0),0)+IF(AND(BE6&lt;&gt;"",BF6&lt;&gt;""),IF(AND(BE6=3,BF6=1),3,0),0)+IF(AND(BE7&lt;&gt;"",BF7&lt;&gt;""),IF(AND(BE7=2,BF7=3),3,0),0)+IF(AND(BE8&lt;&gt;"",BF8&lt;&gt;""),IF(AND(BE8=1,BF8=3),3,0),0)+IF(AND(BE9&lt;&gt;"",BF9&lt;&gt;""),IF(AND(BE9=1,BF9=2),3,0),0)</f>
        <v>0</v>
      </c>
      <c r="S18" s="133"/>
      <c r="T18" s="133"/>
      <c r="U18" s="138" t="n">
        <f aca="false">IF(AND(BE4&lt;&gt;"",BF4&lt;&gt;""),IF(AND(BE4=3,BF4=1),3,0),0)+IF(AND(BE5&lt;&gt;"",BF5&lt;&gt;""),IF(AND(BE5=4,BF5=0),3,0),0)+IF(AND(BE6&lt;&gt;"",BF6&lt;&gt;""),IF(AND(BE6=2,BF6=1),3,0),0)+IF(AND(BE7&lt;&gt;"",BF7&lt;&gt;""),IF(AND(BE7=2,BF7=0),3,0),0)+IF(AND(BE8&lt;&gt;"",BF8&lt;&gt;""),IF(AND(BE8=0,BF8=6),3,0),0)+IF(AND(BE9&lt;&gt;"",BF9&lt;&gt;""),IF(AND(BE9=2,BF9=2),3,0),0)</f>
        <v>0</v>
      </c>
      <c r="V18" s="133"/>
      <c r="W18" s="133"/>
      <c r="X18" s="139" t="n">
        <f aca="false">IF(AND(BE4&lt;&gt;"",BF4&lt;&gt;""),IF(AND(BE4=1,BF4=1),3,0),0)+IF(AND(BE5&lt;&gt;"",BF5&lt;&gt;""),IF(AND(BE5=3,BF5=0),3,0),0)+IF(AND(BE6&lt;&gt;"",BF6&lt;&gt;""),IF(AND(BE6=2,BF6=1),3,0),0)+IF(AND(BE7&lt;&gt;"",BF7&lt;&gt;""),IF(AND(BE7=2,BF7=0),3,0),0)+IF(AND(BE8&lt;&gt;"",BF8&lt;&gt;""),IF(AND(BE8=0,BF8=4),3,0),0)+IF(AND(BE9&lt;&gt;"",BF9&lt;&gt;""),IF(AND(BE9=1,BF9=1),3,0),0)</f>
        <v>0</v>
      </c>
      <c r="Y18" s="133"/>
      <c r="Z18" s="133"/>
      <c r="AA18" s="140" t="n">
        <f aca="false">IF(AND(BE4&lt;&gt;"",BF4&lt;&gt;""),IF(AND(BE4=3,BF4=0),3,0),0)+IF(AND(BE5&lt;&gt;"",BF5&lt;&gt;""),IF(AND(BE5=3,BF5=0),3,0),0)+IF(AND(BE6&lt;&gt;"",BF6&lt;&gt;""),IF(AND(BE6=2,BF6=0),3,0),0)+IF(AND(BE7&lt;&gt;"",BF7&lt;&gt;""),IF(AND(BE7=1,BF7=0),3,0),0)+IF(AND(BE8&lt;&gt;"",BF8&lt;&gt;""),IF(AND(BE8=0,BF8=2),3,0),0)+IF(AND(BE9&lt;&gt;"",BF9&lt;&gt;""),IF(AND(BE9=1,BF9=2),3,0),0)</f>
        <v>0</v>
      </c>
      <c r="AB18" s="133"/>
      <c r="AC18" s="133"/>
      <c r="AD18" s="141" t="n">
        <f aca="false">IF(AND(BE4&lt;&gt;"",BF4&lt;&gt;""),IF(AND(BE4=1,BF4=0),3,0),0)+IF(AND(BE5&lt;&gt;"",BF5&lt;&gt;""),IF(AND(BE5=2,BF5=1),3,0),0)+IF(AND(BE6&lt;&gt;"",BF6&lt;&gt;""),IF(AND(BE6=2,BF6=0),3,0),0)+IF(AND(BE7&lt;&gt;"",BF7&lt;&gt;""),IF(AND(BE7=1,BF7=0),3,0),0)+IF(AND(BE8&lt;&gt;"",BF8&lt;&gt;""),IF(AND(BE8=0,BF8=2),3,0),0)+IF(AND(BE9&lt;&gt;"",BF9&lt;&gt;""),IF(AND(BE9=1,BF9=1),3,0),0)</f>
        <v>0</v>
      </c>
      <c r="AE18" s="133"/>
      <c r="AF18" s="133"/>
      <c r="AG18" s="142" t="n">
        <f aca="false">IF(AND(BE4&lt;&gt;"",BF4&lt;&gt;""),IF(AND(BE4=3,BF4=1),3,0),0)+IF(AND(BE5&lt;&gt;"",BF5&lt;&gt;""),IF(AND(BE5=3,BF5=0),3,0),0)+IF(AND(BE6&lt;&gt;"",BF6&lt;&gt;""),IF(AND(BE6=2,BF6=1),3,0),0)+IF(AND(BE7&lt;&gt;"",BF7&lt;&gt;""),IF(AND(BE7=3,BF7=1),3,0),0)+IF(AND(BE8&lt;&gt;"",BF8&lt;&gt;""),IF(AND(BE8=0,BF8=4),3,0),0)+IF(AND(BE9&lt;&gt;"",BF9&lt;&gt;""),IF(AND(BE9=2,BF9=2)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3,BF4=1),3,0),0)+IF(AND(BE5&lt;&gt;"",BF5&lt;&gt;""),IF(AND(BE5=2,BF5=0),3,0),0)+IF(AND(BE6&lt;&gt;"",BF6&lt;&gt;""),IF(AND(BE6=2,BF6=0),3,0),0)+IF(AND(BE7&lt;&gt;"",BF7&lt;&gt;""),IF(AND(BE7=1,BF7=1),3,0),0)+IF(AND(BE8&lt;&gt;"",BF8&lt;&gt;""),IF(AND(BE8=0,BF8=3),3,0),0)+IF(AND(BE9&lt;&gt;"",BF9&lt;&gt;""),IF(AND(BE9=1,BF9=2),3,0),0)</f>
        <v>0</v>
      </c>
      <c r="AN18" s="133"/>
      <c r="AO18" s="133"/>
      <c r="AP18" s="145" t="n">
        <f aca="false">IF(AND(BE4&lt;&gt;"",BF4&lt;&gt;""),IF(AND(BE4=3,BF4=0),3,0),0)+IF(AND(BE5&lt;&gt;"",BF5&lt;&gt;""),IF(AND(BE5=2,BF5=0),3,0),0)+IF(AND(BE6&lt;&gt;"",BF6&lt;&gt;""),IF(AND(BE6=2,BF6=1),3,0),0)+IF(AND(BE7&lt;&gt;"",BF7&lt;&gt;""),IF(AND(BE7=1,BF7=1),3,0),0)+IF(AND(BE8&lt;&gt;"",BF8&lt;&gt;""),IF(AND(BE8=0,BF8=2),3,0),0)+IF(AND(BE9&lt;&gt;"",BF9&lt;&gt;""),IF(AND(BE9=1,BF9=1),3,0),0)</f>
        <v>0</v>
      </c>
      <c r="AQ18" s="133"/>
      <c r="AR18" s="133"/>
      <c r="AS18" s="146" t="n">
        <f aca="false">IF(AND(BE4&lt;&gt;"",BF4&lt;&gt;""),IF(AND(BE4=3,BF4=1),3,0),0)+IF(AND(BE5&lt;&gt;"",BF5&lt;&gt;""),IF(AND(BE5=2,BF5=1),3,0),0)+IF(AND(BE6&lt;&gt;"",BF6&lt;&gt;""),IF(AND(BE6=2,BF6=1),3,0),0)+IF(AND(BE7&lt;&gt;"",BF7&lt;&gt;""),IF(AND(BE7=1,BF7=1),3,0),0)+IF(AND(BE8&lt;&gt;"",BF8&lt;&gt;""),IF(AND(BE8=0,BF8=2),3,0),0)+IF(AND(BE9&lt;&gt;"",BF9&lt;&gt;""),IF(AND(BE9=1,BF9=1),3,0),0)</f>
        <v>0</v>
      </c>
      <c r="AT18" s="133"/>
      <c r="AU18" s="133"/>
      <c r="AV18" s="147" t="n">
        <f aca="false">IF(AND(BE4&lt;&gt;"",BF4&lt;&gt;""),IF(AND(BE4=2,BF4=0),3,0),0)+IF(AND(BE5&lt;&gt;"",BF5&lt;&gt;""),IF(AND(BE5=1,BF5=0),3,0),0)+IF(AND(BE6&lt;&gt;"",BF6&lt;&gt;""),IF(AND(BE6=1,BF6=0),3,0),0)+IF(AND(BE7&lt;&gt;"",BF7&lt;&gt;""),IF(AND(BE7=1,BF7=0),3,0),0)+IF(AND(BE8&lt;&gt;"",BF8&lt;&gt;""),IF(AND(BE8=0,BF8=2),3,0),0)+IF(AND(BE9&lt;&gt;"",BF9&lt;&gt;""),IF(AND(BE9=1,BF9=1),3,0),0)</f>
        <v>0</v>
      </c>
      <c r="AW18" s="133"/>
      <c r="AX18" s="133"/>
      <c r="AY18" s="148" t="n">
        <f aca="false">IF(AND(BE4&lt;&gt;"",BF4&lt;&gt;""),IF(AND(BE4=2,BF4=0),3,0),0)+IF(AND(BE5&lt;&gt;"",BF5&lt;&gt;""),IF(AND(BE5=1,BF5=0),3,0),0)+IF(AND(BE6&lt;&gt;"",BF6&lt;&gt;""),IF(AND(BE6=2,BF6=0),3,0),0)+IF(AND(BE7&lt;&gt;"",BF7&lt;&gt;""),IF(AND(BE7=1,BF7=0),3,0),0)+IF(AND(BE8&lt;&gt;"",BF8&lt;&gt;""),IF(AND(BE8=1,BF8=3),3,0),0)+IF(AND(BE9&lt;&gt;"",BF9&lt;&gt;""),IF(AND(BE9=1,BF9=0),3,0),0)</f>
        <v>0</v>
      </c>
      <c r="AZ18" s="133"/>
      <c r="BA18" s="133"/>
      <c r="BB18" s="149" t="n">
        <f aca="false">IF(AND(BE4&lt;&gt;"",BF4&lt;&gt;""),IF(AND(BE4=3,BF4=0),3,0),0)+IF(AND(BE5&lt;&gt;"",BF5&lt;&gt;""),IF(AND(BE5=2,BF5=0),3,0),0)+IF(AND(BE6&lt;&gt;"",BF6&lt;&gt;""),IF(AND(BE6=2,BF6=0),3,0),0)+IF(AND(BE7&lt;&gt;"",BF7&lt;&gt;""),IF(AND(BE7=1,BF7=0),3,0),0)+IF(AND(BE8&lt;&gt;"",BF8&lt;&gt;""),IF(AND(BE8=0,BF8=3)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IF(C12&lt;&gt;"",IF(C12="Argentina",4,0),0)+IF(C13&lt;&gt;"",IF(C13="Austria",2,0),0)+IF(C14&lt;&gt;"",IF(C14="Argelia",1,0),0)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IF(C12&lt;&gt;"",IF(C12="Argentina",4,0),0)+IF(C13&lt;&gt;"",IF(C13="Austria",2,0),0)+IF(C14&lt;&gt;"",IF(C14="Argelia",1,0),0)</f>
        <v>0</v>
      </c>
      <c r="M19" s="152"/>
      <c r="N19" s="152"/>
      <c r="O19" s="155" t="n">
        <f aca="false">IF(C12&lt;&gt;"",IF(C12="Argentina",4,0),0)+IF(C13&lt;&gt;"",IF(C13="Austria",2,0),0)+IF(C14&lt;&gt;"",IF(C14="Argelia",1,0),0)</f>
        <v>0</v>
      </c>
      <c r="P19" s="152"/>
      <c r="Q19" s="152"/>
      <c r="R19" s="156" t="n">
        <f aca="false">IF(C12&lt;&gt;"",IF(C12="Argentina",4,0),0)+IF(C13&lt;&gt;"",IF(C13="Austria",2,0),0)+IF(C14&lt;&gt;"",IF(C14="Jordania",1,0),0)</f>
        <v>0</v>
      </c>
      <c r="S19" s="152"/>
      <c r="T19" s="152"/>
      <c r="U19" s="157" t="n">
        <f aca="false">IF(C12&lt;&gt;"",IF(C12="Argentina",4,0),0)+IF(C13&lt;&gt;"",IF(C13="Austria",2,0),0)+IF(C14&lt;&gt;"",IF(C14="Argelia",1,0),0)</f>
        <v>0</v>
      </c>
      <c r="V19" s="152"/>
      <c r="W19" s="152"/>
      <c r="X19" s="158" t="n">
        <f aca="false">IF(C12&lt;&gt;"",IF(C12="Argentina",4,0),0)+IF(C13&lt;&gt;"",IF(C13="Austria",2,0),0)+IF(C14&lt;&gt;"",IF(C14="Argelia",1,0),0)</f>
        <v>0</v>
      </c>
      <c r="Y19" s="152"/>
      <c r="Z19" s="152"/>
      <c r="AA19" s="159" t="n">
        <f aca="false">IF(C12&lt;&gt;"",IF(C12="Argentina",4,0),0)+IF(C13&lt;&gt;"",IF(C13="Austria",2,0),0)+IF(C14&lt;&gt;"",IF(C14="Argelia",1,0),0)</f>
        <v>0</v>
      </c>
      <c r="AB19" s="152"/>
      <c r="AC19" s="152"/>
      <c r="AD19" s="160" t="n">
        <f aca="false">IF(C12&lt;&gt;"",IF(C12="ARGENTINA",4,0),0)+IF(C13&lt;&gt;"",IF(C13="ARGELIA",2,0),0)+IF(C14&lt;&gt;"",IF(C14="AUSTRIA",1,0),0)</f>
        <v>0</v>
      </c>
      <c r="AE19" s="152"/>
      <c r="AF19" s="152"/>
      <c r="AG19" s="161" t="n">
        <f aca="false">IF(C12&lt;&gt;"",IF(C12="ARGENTINA",4,0),0)+IF(C13&lt;&gt;"",IF(C13="AUSTRIA",2,0),0)+IF(C14&lt;&gt;"",IF(C14="ARGELIA",1,0),0)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IF(C12&lt;&gt;"",IF(C12="Argentina",4,0),0)+IF(C13&lt;&gt;"",IF(C13="Austria",2,0),0)+IF(C14&lt;&gt;"",IF(C14="Argelia",1,0),0)</f>
        <v>0</v>
      </c>
      <c r="AN19" s="152"/>
      <c r="AO19" s="152"/>
      <c r="AP19" s="164" t="n">
        <f aca="false">IF(C12&lt;&gt;"",IF(C12="Argentina",4,0),0)+IF(C13&lt;&gt;"",IF(C13="Austria",2,0),0)+IF(C14&lt;&gt;"",IF(C14="Argelia",1,0),0)</f>
        <v>0</v>
      </c>
      <c r="AQ19" s="152"/>
      <c r="AR19" s="152"/>
      <c r="AS19" s="165" t="n">
        <f aca="false">IF(C12&lt;&gt;"",IF(C12="Argentina",4,0),0)+IF(C13&lt;&gt;"",IF(C13="Austria",2,0),0)+IF(C14&lt;&gt;"",IF(C14="Argelia",1,0),0)</f>
        <v>0</v>
      </c>
      <c r="AT19" s="152"/>
      <c r="AU19" s="152"/>
      <c r="AV19" s="166" t="n">
        <f aca="false">IF(C12&lt;&gt;"",IF(C12="Argentina",4,0),0)+IF(C13&lt;&gt;"",IF(C13="Austria",2,0),0)+IF(C14&lt;&gt;"",IF(C14="Argelia",1,0),0)</f>
        <v>0</v>
      </c>
      <c r="AW19" s="152"/>
      <c r="AX19" s="152"/>
      <c r="AY19" s="167" t="n">
        <f aca="false">IF(C12&lt;&gt;"",IF(C12="Argentina",4,0),0)+IF(C13&lt;&gt;"",IF(C13="Austria",2,0),0)+IF(C14&lt;&gt;"",IF(C14="Argelia",1,0),0)</f>
        <v>0</v>
      </c>
      <c r="AZ19" s="152"/>
      <c r="BA19" s="152"/>
      <c r="BB19" s="168" t="n">
        <f aca="false">IF(C12&lt;&gt;"",IF(C12="Argentina",4,0),0)+IF(C13&lt;&gt;"",IF(C13="Austria",2,0),0)+IF(C14&lt;&gt;"",IF(C14="Argelia",1,0),0)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181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182</v>
      </c>
      <c r="C4" s="80" t="s">
        <v>35</v>
      </c>
      <c r="D4" s="81" t="s">
        <v>183</v>
      </c>
      <c r="E4" s="80"/>
      <c r="F4" s="82" t="n">
        <v>2</v>
      </c>
      <c r="G4" s="82" t="n">
        <v>0</v>
      </c>
      <c r="H4" s="82" t="s">
        <v>37</v>
      </c>
      <c r="I4" s="82"/>
      <c r="J4" s="82"/>
      <c r="K4" s="82"/>
      <c r="L4" s="82" t="n">
        <v>3</v>
      </c>
      <c r="M4" s="82" t="n">
        <v>0</v>
      </c>
      <c r="N4" s="82" t="s">
        <v>37</v>
      </c>
      <c r="O4" s="82" t="n">
        <v>3</v>
      </c>
      <c r="P4" s="82" t="n">
        <v>0</v>
      </c>
      <c r="Q4" s="82" t="s">
        <v>37</v>
      </c>
      <c r="R4" s="82" t="n">
        <v>4</v>
      </c>
      <c r="S4" s="82" t="n">
        <v>0</v>
      </c>
      <c r="T4" s="82" t="s">
        <v>37</v>
      </c>
      <c r="U4" s="82" t="n">
        <v>3</v>
      </c>
      <c r="V4" s="82" t="n">
        <v>1</v>
      </c>
      <c r="W4" s="82" t="s">
        <v>37</v>
      </c>
      <c r="X4" s="82" t="n">
        <v>2</v>
      </c>
      <c r="Y4" s="82" t="n">
        <v>1</v>
      </c>
      <c r="Z4" s="82" t="s">
        <v>37</v>
      </c>
      <c r="AA4" s="82" t="n">
        <v>3</v>
      </c>
      <c r="AB4" s="82" t="n">
        <v>0</v>
      </c>
      <c r="AC4" s="82" t="s">
        <v>37</v>
      </c>
      <c r="AD4" s="82" t="n">
        <v>1</v>
      </c>
      <c r="AE4" s="82" t="n">
        <v>0</v>
      </c>
      <c r="AF4" s="82" t="s">
        <v>37</v>
      </c>
      <c r="AG4" s="82" t="n">
        <v>3</v>
      </c>
      <c r="AH4" s="82" t="n">
        <v>1</v>
      </c>
      <c r="AI4" s="82" t="s">
        <v>37</v>
      </c>
      <c r="AJ4" s="82"/>
      <c r="AK4" s="82"/>
      <c r="AL4" s="82"/>
      <c r="AM4" s="82" t="n">
        <v>3</v>
      </c>
      <c r="AN4" s="82" t="n">
        <v>0</v>
      </c>
      <c r="AO4" s="82" t="s">
        <v>37</v>
      </c>
      <c r="AP4" s="82" t="n">
        <v>2</v>
      </c>
      <c r="AQ4" s="82" t="n">
        <v>0</v>
      </c>
      <c r="AR4" s="82" t="s">
        <v>37</v>
      </c>
      <c r="AS4" s="82" t="n">
        <v>1</v>
      </c>
      <c r="AT4" s="82" t="n">
        <v>0</v>
      </c>
      <c r="AU4" s="82" t="s">
        <v>37</v>
      </c>
      <c r="AV4" s="82" t="n">
        <v>2</v>
      </c>
      <c r="AW4" s="82" t="n">
        <v>0</v>
      </c>
      <c r="AX4" s="82" t="s">
        <v>37</v>
      </c>
      <c r="AY4" s="82" t="n">
        <v>2</v>
      </c>
      <c r="AZ4" s="82" t="n">
        <v>0</v>
      </c>
      <c r="BA4" s="82" t="s">
        <v>37</v>
      </c>
      <c r="BB4" s="82" t="n">
        <v>2</v>
      </c>
      <c r="BC4" s="82" t="n">
        <v>0</v>
      </c>
      <c r="BD4" s="82" t="s">
        <v>37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184</v>
      </c>
      <c r="C5" s="84" t="s">
        <v>35</v>
      </c>
      <c r="D5" s="85" t="s">
        <v>185</v>
      </c>
      <c r="E5" s="84"/>
      <c r="F5" s="86" t="n">
        <v>0</v>
      </c>
      <c r="G5" s="86" t="n">
        <v>3</v>
      </c>
      <c r="H5" s="86" t="s">
        <v>41</v>
      </c>
      <c r="I5" s="86"/>
      <c r="J5" s="86"/>
      <c r="K5" s="86"/>
      <c r="L5" s="86" t="n">
        <v>0</v>
      </c>
      <c r="M5" s="86" t="n">
        <v>3</v>
      </c>
      <c r="N5" s="86" t="s">
        <v>41</v>
      </c>
      <c r="O5" s="86" t="n">
        <v>0</v>
      </c>
      <c r="P5" s="86" t="n">
        <v>2</v>
      </c>
      <c r="Q5" s="86" t="s">
        <v>41</v>
      </c>
      <c r="R5" s="86" t="n">
        <v>1</v>
      </c>
      <c r="S5" s="86" t="n">
        <v>2</v>
      </c>
      <c r="T5" s="86" t="s">
        <v>41</v>
      </c>
      <c r="U5" s="86" t="n">
        <v>0</v>
      </c>
      <c r="V5" s="86" t="n">
        <v>2</v>
      </c>
      <c r="W5" s="86" t="s">
        <v>41</v>
      </c>
      <c r="X5" s="86" t="n">
        <v>0</v>
      </c>
      <c r="Y5" s="86" t="n">
        <v>2</v>
      </c>
      <c r="Z5" s="86" t="s">
        <v>41</v>
      </c>
      <c r="AA5" s="86" t="n">
        <v>0</v>
      </c>
      <c r="AB5" s="86" t="n">
        <v>2</v>
      </c>
      <c r="AC5" s="86" t="s">
        <v>41</v>
      </c>
      <c r="AD5" s="86" t="n">
        <v>0</v>
      </c>
      <c r="AE5" s="86" t="n">
        <v>1</v>
      </c>
      <c r="AF5" s="86" t="s">
        <v>41</v>
      </c>
      <c r="AG5" s="86" t="n">
        <v>0</v>
      </c>
      <c r="AH5" s="86" t="n">
        <v>3</v>
      </c>
      <c r="AI5" s="86" t="s">
        <v>41</v>
      </c>
      <c r="AJ5" s="86"/>
      <c r="AK5" s="86"/>
      <c r="AL5" s="86"/>
      <c r="AM5" s="86" t="n">
        <v>1</v>
      </c>
      <c r="AN5" s="86" t="n">
        <v>2</v>
      </c>
      <c r="AO5" s="86" t="s">
        <v>41</v>
      </c>
      <c r="AP5" s="86" t="n">
        <v>0</v>
      </c>
      <c r="AQ5" s="86" t="n">
        <v>2</v>
      </c>
      <c r="AR5" s="86" t="s">
        <v>41</v>
      </c>
      <c r="AS5" s="86" t="n">
        <v>0</v>
      </c>
      <c r="AT5" s="86" t="n">
        <v>2</v>
      </c>
      <c r="AU5" s="86" t="s">
        <v>41</v>
      </c>
      <c r="AV5" s="86" t="n">
        <v>0</v>
      </c>
      <c r="AW5" s="86" t="n">
        <v>2</v>
      </c>
      <c r="AX5" s="86" t="s">
        <v>41</v>
      </c>
      <c r="AY5" s="86" t="n">
        <v>1</v>
      </c>
      <c r="AZ5" s="86" t="n">
        <v>2</v>
      </c>
      <c r="BA5" s="86" t="s">
        <v>41</v>
      </c>
      <c r="BB5" s="86" t="n">
        <v>0</v>
      </c>
      <c r="BC5" s="86" t="n">
        <v>2</v>
      </c>
      <c r="BD5" s="86" t="s">
        <v>37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182</v>
      </c>
      <c r="C6" s="80" t="s">
        <v>35</v>
      </c>
      <c r="D6" s="81" t="s">
        <v>184</v>
      </c>
      <c r="E6" s="80"/>
      <c r="F6" s="82" t="n">
        <v>3</v>
      </c>
      <c r="G6" s="82" t="n">
        <v>0</v>
      </c>
      <c r="H6" s="82" t="s">
        <v>37</v>
      </c>
      <c r="I6" s="82"/>
      <c r="J6" s="82"/>
      <c r="K6" s="82"/>
      <c r="L6" s="82" t="n">
        <v>3</v>
      </c>
      <c r="M6" s="82" t="n">
        <v>0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3</v>
      </c>
      <c r="S6" s="82" t="n">
        <v>0</v>
      </c>
      <c r="T6" s="82" t="s">
        <v>37</v>
      </c>
      <c r="U6" s="82" t="n">
        <v>4</v>
      </c>
      <c r="V6" s="82" t="n">
        <v>0</v>
      </c>
      <c r="W6" s="82" t="s">
        <v>37</v>
      </c>
      <c r="X6" s="82" t="n">
        <v>3</v>
      </c>
      <c r="Y6" s="82" t="n">
        <v>0</v>
      </c>
      <c r="Z6" s="82" t="s">
        <v>37</v>
      </c>
      <c r="AA6" s="82" t="n">
        <v>3</v>
      </c>
      <c r="AB6" s="82" t="n">
        <v>0</v>
      </c>
      <c r="AC6" s="82" t="s">
        <v>37</v>
      </c>
      <c r="AD6" s="82" t="n">
        <v>2</v>
      </c>
      <c r="AE6" s="82" t="n">
        <v>0</v>
      </c>
      <c r="AF6" s="82" t="s">
        <v>37</v>
      </c>
      <c r="AG6" s="82" t="n">
        <v>4</v>
      </c>
      <c r="AH6" s="82" t="n">
        <v>0</v>
      </c>
      <c r="AI6" s="82" t="s">
        <v>37</v>
      </c>
      <c r="AJ6" s="82"/>
      <c r="AK6" s="82"/>
      <c r="AL6" s="82"/>
      <c r="AM6" s="82" t="n">
        <v>2</v>
      </c>
      <c r="AN6" s="82" t="n">
        <v>1</v>
      </c>
      <c r="AO6" s="82" t="s">
        <v>37</v>
      </c>
      <c r="AP6" s="82" t="n">
        <v>3</v>
      </c>
      <c r="AQ6" s="82" t="n">
        <v>0</v>
      </c>
      <c r="AR6" s="82" t="s">
        <v>37</v>
      </c>
      <c r="AS6" s="82" t="n">
        <v>2</v>
      </c>
      <c r="AT6" s="82" t="n">
        <v>0</v>
      </c>
      <c r="AU6" s="82" t="s">
        <v>37</v>
      </c>
      <c r="AV6" s="82" t="n">
        <v>3</v>
      </c>
      <c r="AW6" s="82" t="n">
        <v>0</v>
      </c>
      <c r="AX6" s="82" t="s">
        <v>37</v>
      </c>
      <c r="AY6" s="82" t="n">
        <v>3</v>
      </c>
      <c r="AZ6" s="82" t="n">
        <v>0</v>
      </c>
      <c r="BA6" s="82" t="s">
        <v>37</v>
      </c>
      <c r="BB6" s="82" t="n">
        <v>3</v>
      </c>
      <c r="BC6" s="82" t="n">
        <v>0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183</v>
      </c>
      <c r="C7" s="84" t="s">
        <v>35</v>
      </c>
      <c r="D7" s="85" t="s">
        <v>185</v>
      </c>
      <c r="E7" s="84"/>
      <c r="F7" s="86" t="n">
        <v>1</v>
      </c>
      <c r="G7" s="86" t="n">
        <v>2</v>
      </c>
      <c r="H7" s="86" t="s">
        <v>41</v>
      </c>
      <c r="I7" s="86"/>
      <c r="J7" s="86"/>
      <c r="K7" s="86"/>
      <c r="L7" s="86" t="n">
        <v>0</v>
      </c>
      <c r="M7" s="86" t="n">
        <v>2</v>
      </c>
      <c r="N7" s="86" t="s">
        <v>41</v>
      </c>
      <c r="O7" s="86" t="n">
        <v>1</v>
      </c>
      <c r="P7" s="86" t="n">
        <v>1</v>
      </c>
      <c r="Q7" s="86" t="s">
        <v>38</v>
      </c>
      <c r="R7" s="86" t="n">
        <v>1</v>
      </c>
      <c r="S7" s="86" t="n">
        <v>2</v>
      </c>
      <c r="T7" s="86" t="s">
        <v>41</v>
      </c>
      <c r="U7" s="86" t="n">
        <v>1</v>
      </c>
      <c r="V7" s="86" t="n">
        <v>2</v>
      </c>
      <c r="W7" s="86" t="s">
        <v>41</v>
      </c>
      <c r="X7" s="86" t="n">
        <v>1</v>
      </c>
      <c r="Y7" s="86" t="n">
        <v>2</v>
      </c>
      <c r="Z7" s="86" t="s">
        <v>41</v>
      </c>
      <c r="AA7" s="86" t="n">
        <v>0</v>
      </c>
      <c r="AB7" s="86" t="n">
        <v>2</v>
      </c>
      <c r="AC7" s="86" t="s">
        <v>41</v>
      </c>
      <c r="AD7" s="86" t="n">
        <v>0</v>
      </c>
      <c r="AE7" s="86" t="n">
        <v>1</v>
      </c>
      <c r="AF7" s="86" t="s">
        <v>41</v>
      </c>
      <c r="AG7" s="86" t="n">
        <v>1</v>
      </c>
      <c r="AH7" s="86" t="n">
        <v>3</v>
      </c>
      <c r="AI7" s="86" t="s">
        <v>41</v>
      </c>
      <c r="AJ7" s="86"/>
      <c r="AK7" s="86"/>
      <c r="AL7" s="86"/>
      <c r="AM7" s="86" t="n">
        <v>0</v>
      </c>
      <c r="AN7" s="86" t="n">
        <v>2</v>
      </c>
      <c r="AO7" s="86" t="s">
        <v>41</v>
      </c>
      <c r="AP7" s="86" t="n">
        <v>2</v>
      </c>
      <c r="AQ7" s="86" t="n">
        <v>1</v>
      </c>
      <c r="AR7" s="86" t="s">
        <v>41</v>
      </c>
      <c r="AS7" s="86" t="n">
        <v>0</v>
      </c>
      <c r="AT7" s="86" t="n">
        <v>3</v>
      </c>
      <c r="AU7" s="86" t="s">
        <v>41</v>
      </c>
      <c r="AV7" s="86" t="n">
        <v>1</v>
      </c>
      <c r="AW7" s="86" t="n">
        <v>2</v>
      </c>
      <c r="AX7" s="86" t="s">
        <v>41</v>
      </c>
      <c r="AY7" s="86" t="n">
        <v>1</v>
      </c>
      <c r="AZ7" s="86" t="n">
        <v>2</v>
      </c>
      <c r="BA7" s="86" t="s">
        <v>41</v>
      </c>
      <c r="BB7" s="86" t="n">
        <v>1</v>
      </c>
      <c r="BC7" s="86" t="n">
        <v>2</v>
      </c>
      <c r="BD7" s="86" t="s">
        <v>41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185</v>
      </c>
      <c r="C8" s="80" t="s">
        <v>35</v>
      </c>
      <c r="D8" s="81" t="s">
        <v>182</v>
      </c>
      <c r="E8" s="80"/>
      <c r="F8" s="82" t="n">
        <v>0</v>
      </c>
      <c r="G8" s="82" t="n">
        <v>2</v>
      </c>
      <c r="H8" s="82" t="s">
        <v>41</v>
      </c>
      <c r="I8" s="82"/>
      <c r="J8" s="82"/>
      <c r="K8" s="82"/>
      <c r="L8" s="82" t="n">
        <v>1</v>
      </c>
      <c r="M8" s="82" t="n">
        <v>3</v>
      </c>
      <c r="N8" s="82" t="s">
        <v>38</v>
      </c>
      <c r="O8" s="82" t="n">
        <v>0</v>
      </c>
      <c r="P8" s="82" t="n">
        <v>1</v>
      </c>
      <c r="Q8" s="82" t="s">
        <v>41</v>
      </c>
      <c r="R8" s="82" t="n">
        <v>1</v>
      </c>
      <c r="S8" s="82" t="n">
        <v>3</v>
      </c>
      <c r="T8" s="82" t="s">
        <v>41</v>
      </c>
      <c r="U8" s="82" t="n">
        <v>1</v>
      </c>
      <c r="V8" s="82" t="n">
        <v>2</v>
      </c>
      <c r="W8" s="82" t="s">
        <v>41</v>
      </c>
      <c r="X8" s="82" t="n">
        <v>1</v>
      </c>
      <c r="Y8" s="82" t="n">
        <v>1</v>
      </c>
      <c r="Z8" s="82" t="s">
        <v>38</v>
      </c>
      <c r="AA8" s="82" t="n">
        <v>1</v>
      </c>
      <c r="AB8" s="82" t="n">
        <v>1</v>
      </c>
      <c r="AC8" s="82" t="s">
        <v>38</v>
      </c>
      <c r="AD8" s="82" t="n">
        <v>1</v>
      </c>
      <c r="AE8" s="82" t="n">
        <v>1</v>
      </c>
      <c r="AF8" s="82" t="s">
        <v>37</v>
      </c>
      <c r="AG8" s="82" t="n">
        <v>2</v>
      </c>
      <c r="AH8" s="82" t="n">
        <v>2</v>
      </c>
      <c r="AI8" s="82" t="s">
        <v>37</v>
      </c>
      <c r="AJ8" s="82"/>
      <c r="AK8" s="82"/>
      <c r="AL8" s="82"/>
      <c r="AM8" s="82" t="n">
        <v>1</v>
      </c>
      <c r="AN8" s="82" t="n">
        <v>1</v>
      </c>
      <c r="AO8" s="82" t="s">
        <v>38</v>
      </c>
      <c r="AP8" s="82" t="n">
        <v>1</v>
      </c>
      <c r="AQ8" s="82" t="n">
        <v>2</v>
      </c>
      <c r="AR8" s="82" t="s">
        <v>41</v>
      </c>
      <c r="AS8" s="82" t="n">
        <v>1</v>
      </c>
      <c r="AT8" s="82" t="n">
        <v>2</v>
      </c>
      <c r="AU8" s="82" t="s">
        <v>41</v>
      </c>
      <c r="AV8" s="82" t="n">
        <v>1</v>
      </c>
      <c r="AW8" s="82" t="n">
        <v>1</v>
      </c>
      <c r="AX8" s="82" t="s">
        <v>38</v>
      </c>
      <c r="AY8" s="82" t="n">
        <v>1</v>
      </c>
      <c r="AZ8" s="82" t="n">
        <v>1</v>
      </c>
      <c r="BA8" s="82" t="s">
        <v>41</v>
      </c>
      <c r="BB8" s="82" t="n">
        <v>1</v>
      </c>
      <c r="BC8" s="82" t="n">
        <v>1</v>
      </c>
      <c r="BD8" s="82" t="s">
        <v>38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183</v>
      </c>
      <c r="C9" s="84" t="s">
        <v>35</v>
      </c>
      <c r="D9" s="85" t="s">
        <v>184</v>
      </c>
      <c r="E9" s="84"/>
      <c r="F9" s="86" t="n">
        <v>1</v>
      </c>
      <c r="G9" s="86" t="n">
        <v>0</v>
      </c>
      <c r="H9" s="86" t="s">
        <v>37</v>
      </c>
      <c r="I9" s="86"/>
      <c r="J9" s="86"/>
      <c r="K9" s="86"/>
      <c r="L9" s="86" t="n">
        <v>2</v>
      </c>
      <c r="M9" s="86" t="n">
        <v>1</v>
      </c>
      <c r="N9" s="86" t="s">
        <v>38</v>
      </c>
      <c r="O9" s="86" t="n">
        <v>1</v>
      </c>
      <c r="P9" s="86" t="n">
        <v>1</v>
      </c>
      <c r="Q9" s="86" t="s">
        <v>38</v>
      </c>
      <c r="R9" s="86" t="n">
        <v>2</v>
      </c>
      <c r="S9" s="86" t="n">
        <v>1</v>
      </c>
      <c r="T9" s="86" t="s">
        <v>37</v>
      </c>
      <c r="U9" s="86" t="n">
        <v>3</v>
      </c>
      <c r="V9" s="86" t="n">
        <v>1</v>
      </c>
      <c r="W9" s="86" t="s">
        <v>37</v>
      </c>
      <c r="X9" s="86" t="n">
        <v>2</v>
      </c>
      <c r="Y9" s="86" t="n">
        <v>1</v>
      </c>
      <c r="Z9" s="86" t="s">
        <v>37</v>
      </c>
      <c r="AA9" s="86" t="n">
        <v>1</v>
      </c>
      <c r="AB9" s="86" t="n">
        <v>0</v>
      </c>
      <c r="AC9" s="86" t="s">
        <v>37</v>
      </c>
      <c r="AD9" s="86" t="n">
        <v>1</v>
      </c>
      <c r="AE9" s="86" t="n">
        <v>1</v>
      </c>
      <c r="AF9" s="86" t="s">
        <v>41</v>
      </c>
      <c r="AG9" s="86" t="n">
        <v>2</v>
      </c>
      <c r="AH9" s="86" t="n">
        <v>1</v>
      </c>
      <c r="AI9" s="86" t="s">
        <v>38</v>
      </c>
      <c r="AJ9" s="86"/>
      <c r="AK9" s="86"/>
      <c r="AL9" s="86"/>
      <c r="AM9" s="86" t="n">
        <v>1</v>
      </c>
      <c r="AN9" s="86" t="n">
        <v>1</v>
      </c>
      <c r="AO9" s="86" t="s">
        <v>38</v>
      </c>
      <c r="AP9" s="86" t="n">
        <v>2</v>
      </c>
      <c r="AQ9" s="86" t="n">
        <v>0</v>
      </c>
      <c r="AR9" s="86" t="s">
        <v>37</v>
      </c>
      <c r="AS9" s="86" t="n">
        <v>1</v>
      </c>
      <c r="AT9" s="86" t="n">
        <v>0</v>
      </c>
      <c r="AU9" s="86" t="s">
        <v>37</v>
      </c>
      <c r="AV9" s="86" t="n">
        <v>3</v>
      </c>
      <c r="AW9" s="86" t="n">
        <v>1</v>
      </c>
      <c r="AX9" s="86" t="s">
        <v>37</v>
      </c>
      <c r="AY9" s="86" t="n">
        <v>1</v>
      </c>
      <c r="AZ9" s="86" t="n">
        <v>0</v>
      </c>
      <c r="BA9" s="86" t="s">
        <v>38</v>
      </c>
      <c r="BB9" s="86" t="n">
        <v>1</v>
      </c>
      <c r="BC9" s="86" t="n">
        <v>0</v>
      </c>
      <c r="BD9" s="86" t="s">
        <v>37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182</v>
      </c>
      <c r="G12" s="90"/>
      <c r="H12" s="90"/>
      <c r="I12" s="91"/>
      <c r="J12" s="91"/>
      <c r="K12" s="91"/>
      <c r="L12" s="92" t="s">
        <v>182</v>
      </c>
      <c r="M12" s="92"/>
      <c r="N12" s="92"/>
      <c r="O12" s="93" t="s">
        <v>182</v>
      </c>
      <c r="P12" s="93"/>
      <c r="Q12" s="93"/>
      <c r="R12" s="94" t="s">
        <v>182</v>
      </c>
      <c r="S12" s="94"/>
      <c r="T12" s="94"/>
      <c r="U12" s="95" t="s">
        <v>182</v>
      </c>
      <c r="V12" s="95"/>
      <c r="W12" s="95"/>
      <c r="X12" s="96" t="s">
        <v>186</v>
      </c>
      <c r="Y12" s="96"/>
      <c r="Z12" s="96"/>
      <c r="AA12" s="97" t="s">
        <v>182</v>
      </c>
      <c r="AB12" s="97"/>
      <c r="AC12" s="97"/>
      <c r="AD12" s="98" t="s">
        <v>187</v>
      </c>
      <c r="AE12" s="98"/>
      <c r="AF12" s="98"/>
      <c r="AG12" s="99" t="s">
        <v>188</v>
      </c>
      <c r="AH12" s="99"/>
      <c r="AI12" s="99"/>
      <c r="AJ12" s="100"/>
      <c r="AK12" s="100"/>
      <c r="AL12" s="100"/>
      <c r="AM12" s="101" t="s">
        <v>182</v>
      </c>
      <c r="AN12" s="101"/>
      <c r="AO12" s="101"/>
      <c r="AP12" s="102" t="s">
        <v>182</v>
      </c>
      <c r="AQ12" s="102"/>
      <c r="AR12" s="102"/>
      <c r="AS12" s="103" t="s">
        <v>182</v>
      </c>
      <c r="AT12" s="103"/>
      <c r="AU12" s="103"/>
      <c r="AV12" s="104" t="s">
        <v>182</v>
      </c>
      <c r="AW12" s="104"/>
      <c r="AX12" s="104"/>
      <c r="AY12" s="105" t="s">
        <v>182</v>
      </c>
      <c r="AZ12" s="105"/>
      <c r="BA12" s="105"/>
      <c r="BB12" s="106" t="s">
        <v>182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189</v>
      </c>
      <c r="G13" s="90"/>
      <c r="H13" s="90"/>
      <c r="I13" s="91"/>
      <c r="J13" s="91"/>
      <c r="K13" s="91"/>
      <c r="L13" s="92" t="s">
        <v>185</v>
      </c>
      <c r="M13" s="92"/>
      <c r="N13" s="92"/>
      <c r="O13" s="93" t="s">
        <v>185</v>
      </c>
      <c r="P13" s="93"/>
      <c r="Q13" s="93"/>
      <c r="R13" s="94" t="s">
        <v>185</v>
      </c>
      <c r="S13" s="94"/>
      <c r="T13" s="94"/>
      <c r="U13" s="95" t="s">
        <v>185</v>
      </c>
      <c r="V13" s="95"/>
      <c r="W13" s="95"/>
      <c r="X13" s="96" t="s">
        <v>185</v>
      </c>
      <c r="Y13" s="96"/>
      <c r="Z13" s="96"/>
      <c r="AA13" s="97" t="s">
        <v>185</v>
      </c>
      <c r="AB13" s="97"/>
      <c r="AC13" s="97"/>
      <c r="AD13" s="98" t="s">
        <v>188</v>
      </c>
      <c r="AE13" s="98"/>
      <c r="AF13" s="98"/>
      <c r="AG13" s="99" t="s">
        <v>187</v>
      </c>
      <c r="AH13" s="99"/>
      <c r="AI13" s="99"/>
      <c r="AJ13" s="100"/>
      <c r="AK13" s="100"/>
      <c r="AL13" s="100"/>
      <c r="AM13" s="101" t="s">
        <v>185</v>
      </c>
      <c r="AN13" s="101"/>
      <c r="AO13" s="101"/>
      <c r="AP13" s="102" t="s">
        <v>185</v>
      </c>
      <c r="AQ13" s="102"/>
      <c r="AR13" s="102"/>
      <c r="AS13" s="103" t="s">
        <v>185</v>
      </c>
      <c r="AT13" s="103"/>
      <c r="AU13" s="103"/>
      <c r="AV13" s="104" t="s">
        <v>190</v>
      </c>
      <c r="AW13" s="104"/>
      <c r="AX13" s="104"/>
      <c r="AY13" s="105" t="s">
        <v>185</v>
      </c>
      <c r="AZ13" s="105"/>
      <c r="BA13" s="105"/>
      <c r="BB13" s="106" t="s">
        <v>185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191</v>
      </c>
      <c r="G14" s="90"/>
      <c r="H14" s="90"/>
      <c r="I14" s="91"/>
      <c r="J14" s="91"/>
      <c r="K14" s="91"/>
      <c r="L14" s="92" t="s">
        <v>183</v>
      </c>
      <c r="M14" s="92"/>
      <c r="N14" s="92"/>
      <c r="O14" s="93" t="s">
        <v>184</v>
      </c>
      <c r="P14" s="93"/>
      <c r="Q14" s="93"/>
      <c r="R14" s="94" t="s">
        <v>183</v>
      </c>
      <c r="S14" s="94"/>
      <c r="T14" s="94"/>
      <c r="U14" s="95" t="s">
        <v>191</v>
      </c>
      <c r="V14" s="95"/>
      <c r="W14" s="95"/>
      <c r="X14" s="96" t="s">
        <v>183</v>
      </c>
      <c r="Y14" s="96"/>
      <c r="Z14" s="96"/>
      <c r="AA14" s="97" t="s">
        <v>183</v>
      </c>
      <c r="AB14" s="97"/>
      <c r="AC14" s="97"/>
      <c r="AD14" s="98" t="s">
        <v>192</v>
      </c>
      <c r="AE14" s="98"/>
      <c r="AF14" s="98"/>
      <c r="AG14" s="99" t="s">
        <v>193</v>
      </c>
      <c r="AH14" s="99"/>
      <c r="AI14" s="99"/>
      <c r="AJ14" s="100"/>
      <c r="AK14" s="100"/>
      <c r="AL14" s="100"/>
      <c r="AM14" s="101" t="s">
        <v>194</v>
      </c>
      <c r="AN14" s="101"/>
      <c r="AO14" s="101"/>
      <c r="AP14" s="102" t="s">
        <v>183</v>
      </c>
      <c r="AQ14" s="102"/>
      <c r="AR14" s="102"/>
      <c r="AS14" s="103" t="s">
        <v>195</v>
      </c>
      <c r="AT14" s="103"/>
      <c r="AU14" s="103"/>
      <c r="AV14" s="104" t="s">
        <v>196</v>
      </c>
      <c r="AW14" s="104"/>
      <c r="AX14" s="104"/>
      <c r="AY14" s="105" t="s">
        <v>197</v>
      </c>
      <c r="AZ14" s="105"/>
      <c r="BA14" s="105"/>
      <c r="BB14" s="106" t="s">
        <v>183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X",1,0),0)+IF(AND(BE8&lt;&gt;"",BF8&lt;&gt;""),IF(IF(BE8&gt;BF8,"1",IF(BE8&lt;BF8,"2","X"))="2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AB17" s="113"/>
      <c r="AC17" s="113"/>
      <c r="AD17" s="121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2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1",1,0),0)+IF(AND(BE9&lt;&gt;"",BF9&lt;&gt;""),IF(IF(BE9&gt;BF9,"1",IF(BE9&lt;BF9,"2","X"))="X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Q17" s="113"/>
      <c r="AR17" s="113"/>
      <c r="AS17" s="126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AW17" s="113"/>
      <c r="AX17" s="113"/>
      <c r="AY17" s="128" t="n">
        <f aca="false">IF(AND(BE4&lt;&gt;"",BF4&lt;&gt;""),IF(IF(BE4&gt;BF4,"1",IF(BE4&lt;BF4,"2","X"))="1",1,0),0)+IF(AND(BE5&lt;&gt;"",BF5&lt;&gt;""),IF(IF(BE5&gt;BF5,"1",IF(BE5&lt;BF5,"2","X"))="2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Z17" s="113"/>
      <c r="BA17" s="113"/>
      <c r="BB17" s="12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X",1,0),0)+IF(AND(BE9&lt;&gt;"",BF9&lt;&gt;""),IF(IF(BE9&gt;BF9,"1",IF(BE9&lt;BF9,"2","X"))="1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2,BF4=0),3,0),0)+IF(AND(BE5&lt;&gt;"",BF5&lt;&gt;""),IF(AND(BE5=0,BF5=3),3,0),0)+IF(AND(BE6&lt;&gt;"",BF6&lt;&gt;""),IF(AND(BE6=3,BF6=0),3,0),0)+IF(AND(BE7&lt;&gt;"",BF7&lt;&gt;""),IF(AND(BE7=1,BF7=2),3,0),0)+IF(AND(BE8&lt;&gt;"",BF8&lt;&gt;""),IF(AND(BE8=0,BF8=2),3,0),0)+IF(AND(BE9&lt;&gt;"",BF9&lt;&gt;""),IF(AND(BE9=1,BF9=0)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3,BF4=0),3,0),0)+IF(AND(BE5&lt;&gt;"",BF5&lt;&gt;""),IF(AND(BE5=0,BF5=3),3,0),0)+IF(AND(BE6&lt;&gt;"",BF6&lt;&gt;""),IF(AND(BE6=3,BF6=0),3,0),0)+IF(AND(BE7&lt;&gt;"",BF7&lt;&gt;""),IF(AND(BE7=0,BF7=2),3,0),0)+IF(AND(BE8&lt;&gt;"",BF8&lt;&gt;""),IF(AND(BE8=1,BF8=3),3,0),0)+IF(AND(BE9&lt;&gt;"",BF9&lt;&gt;""),IF(AND(BE9=2,BF9=1),3,0),0)</f>
        <v>0</v>
      </c>
      <c r="M18" s="133"/>
      <c r="N18" s="133"/>
      <c r="O18" s="136" t="n">
        <f aca="false">IF(AND(BE4&lt;&gt;"",BF4&lt;&gt;""),IF(AND(BE4=3,BF4=0),3,0),0)+IF(AND(BE5&lt;&gt;"",BF5&lt;&gt;""),IF(AND(BE5=0,BF5=2),3,0),0)+IF(AND(BE6&lt;&gt;"",BF6&lt;&gt;""),IF(AND(BE6=2,BF6=0),3,0),0)+IF(AND(BE7&lt;&gt;"",BF7&lt;&gt;""),IF(AND(BE7=1,BF7=1),3,0),0)+IF(AND(BE8&lt;&gt;"",BF8&lt;&gt;""),IF(AND(BE8=0,BF8=1),3,0),0)+IF(AND(BE9&lt;&gt;"",BF9&lt;&gt;""),IF(AND(BE9=1,BF9=1),3,0),0)</f>
        <v>0</v>
      </c>
      <c r="P18" s="133"/>
      <c r="Q18" s="133"/>
      <c r="R18" s="137" t="n">
        <f aca="false">IF(AND(BE4&lt;&gt;"",BF4&lt;&gt;""),IF(AND(BE4=4,BF4=0),3,0),0)+IF(AND(BE5&lt;&gt;"",BF5&lt;&gt;""),IF(AND(BE5=1,BF5=2),3,0),0)+IF(AND(BE6&lt;&gt;"",BF6&lt;&gt;""),IF(AND(BE6=3,BF6=0),3,0),0)+IF(AND(BE7&lt;&gt;"",BF7&lt;&gt;""),IF(AND(BE7=1,BF7=2),3,0),0)+IF(AND(BE8&lt;&gt;"",BF8&lt;&gt;""),IF(AND(BE8=1,BF8=3),3,0),0)+IF(AND(BE9&lt;&gt;"",BF9&lt;&gt;""),IF(AND(BE9=2,BF9=1),3,0),0)</f>
        <v>0</v>
      </c>
      <c r="S18" s="133"/>
      <c r="T18" s="133"/>
      <c r="U18" s="138" t="n">
        <f aca="false">IF(AND(BE4&lt;&gt;"",BF4&lt;&gt;""),IF(AND(BE4=3,BF4=1),3,0),0)+IF(AND(BE5&lt;&gt;"",BF5&lt;&gt;""),IF(AND(BE5=0,BF5=2),3,0),0)+IF(AND(BE6&lt;&gt;"",BF6&lt;&gt;""),IF(AND(BE6=4,BF6=0),3,0),0)+IF(AND(BE7&lt;&gt;"",BF7&lt;&gt;""),IF(AND(BE7=1,BF7=2),3,0),0)+IF(AND(BE8&lt;&gt;"",BF8&lt;&gt;""),IF(AND(BE8=1,BF8=2),3,0),0)+IF(AND(BE9&lt;&gt;"",BF9&lt;&gt;""),IF(AND(BE9=3,BF9=1),3,0),0)</f>
        <v>0</v>
      </c>
      <c r="V18" s="133"/>
      <c r="W18" s="133"/>
      <c r="X18" s="139" t="n">
        <f aca="false">IF(AND(BE4&lt;&gt;"",BF4&lt;&gt;""),IF(AND(BE4=2,BF4=1),3,0),0)+IF(AND(BE5&lt;&gt;"",BF5&lt;&gt;""),IF(AND(BE5=0,BF5=2),3,0),0)+IF(AND(BE6&lt;&gt;"",BF6&lt;&gt;""),IF(AND(BE6=3,BF6=0),3,0),0)+IF(AND(BE7&lt;&gt;"",BF7&lt;&gt;""),IF(AND(BE7=1,BF7=2),3,0),0)+IF(AND(BE8&lt;&gt;"",BF8&lt;&gt;""),IF(AND(BE8=1,BF8=1),3,0),0)+IF(AND(BE9&lt;&gt;"",BF9&lt;&gt;""),IF(AND(BE9=2,BF9=1),3,0),0)</f>
        <v>0</v>
      </c>
      <c r="Y18" s="133"/>
      <c r="Z18" s="133"/>
      <c r="AA18" s="140" t="n">
        <f aca="false">IF(AND(BE4&lt;&gt;"",BF4&lt;&gt;""),IF(AND(BE4=3,BF4=0),3,0),0)+IF(AND(BE5&lt;&gt;"",BF5&lt;&gt;""),IF(AND(BE5=0,BF5=2),3,0),0)+IF(AND(BE6&lt;&gt;"",BF6&lt;&gt;""),IF(AND(BE6=3,BF6=0),3,0),0)+IF(AND(BE7&lt;&gt;"",BF7&lt;&gt;""),IF(AND(BE7=0,BF7=2),3,0),0)+IF(AND(BE8&lt;&gt;"",BF8&lt;&gt;""),IF(AND(BE8=1,BF8=1),3,0),0)+IF(AND(BE9&lt;&gt;"",BF9&lt;&gt;""),IF(AND(BE9=1,BF9=0),3,0),0)</f>
        <v>0</v>
      </c>
      <c r="AB18" s="133"/>
      <c r="AC18" s="133"/>
      <c r="AD18" s="141" t="n">
        <f aca="false">IF(AND(BE4&lt;&gt;"",BF4&lt;&gt;""),IF(AND(BE4=1,BF4=0),3,0),0)+IF(AND(BE5&lt;&gt;"",BF5&lt;&gt;""),IF(AND(BE5=0,BF5=1),3,0),0)+IF(AND(BE6&lt;&gt;"",BF6&lt;&gt;""),IF(AND(BE6=2,BF6=0),3,0),0)+IF(AND(BE7&lt;&gt;"",BF7&lt;&gt;""),IF(AND(BE7=0,BF7=1),3,0),0)+IF(AND(BE8&lt;&gt;"",BF8&lt;&gt;""),IF(AND(BE8=1,BF8=1),3,0),0)+IF(AND(BE9&lt;&gt;"",BF9&lt;&gt;""),IF(AND(BE9=1,BF9=1),3,0),0)</f>
        <v>0</v>
      </c>
      <c r="AE18" s="133"/>
      <c r="AF18" s="133"/>
      <c r="AG18" s="142" t="n">
        <f aca="false">IF(AND(BE4&lt;&gt;"",BF4&lt;&gt;""),IF(AND(BE4=3,BF4=1),3,0),0)+IF(AND(BE5&lt;&gt;"",BF5&lt;&gt;""),IF(AND(BE5=0,BF5=3),3,0),0)+IF(AND(BE6&lt;&gt;"",BF6&lt;&gt;""),IF(AND(BE6=4,BF6=0),3,0),0)+IF(AND(BE7&lt;&gt;"",BF7&lt;&gt;""),IF(AND(BE7=1,BF7=3),3,0),0)+IF(AND(BE8&lt;&gt;"",BF8&lt;&gt;""),IF(AND(BE8=2,BF8=2),3,0),0)+IF(AND(BE9&lt;&gt;"",BF9&lt;&gt;""),IF(AND(BE9=2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3,BF4=0),3,0),0)+IF(AND(BE5&lt;&gt;"",BF5&lt;&gt;""),IF(AND(BE5=1,BF5=2),3,0),0)+IF(AND(BE6&lt;&gt;"",BF6&lt;&gt;""),IF(AND(BE6=2,BF6=1),3,0),0)+IF(AND(BE7&lt;&gt;"",BF7&lt;&gt;""),IF(AND(BE7=0,BF7=2),3,0),0)+IF(AND(BE8&lt;&gt;"",BF8&lt;&gt;""),IF(AND(BE8=1,BF8=1),3,0),0)+IF(AND(BE9&lt;&gt;"",BF9&lt;&gt;""),IF(AND(BE9=1,BF9=1),3,0),0)</f>
        <v>0</v>
      </c>
      <c r="AN18" s="133"/>
      <c r="AO18" s="133"/>
      <c r="AP18" s="145" t="n">
        <f aca="false">IF(AND(BE4&lt;&gt;"",BF4&lt;&gt;""),IF(AND(BE4=2,BF4=0),3,0),0)+IF(AND(BE5&lt;&gt;"",BF5&lt;&gt;""),IF(AND(BE5=0,BF5=2),3,0),0)+IF(AND(BE6&lt;&gt;"",BF6&lt;&gt;""),IF(AND(BE6=3,BF6=0),3,0),0)+IF(AND(BE7&lt;&gt;"",BF7&lt;&gt;""),IF(AND(BE7=2,BF7=1),3,0),0)+IF(AND(BE8&lt;&gt;"",BF8&lt;&gt;""),IF(AND(BE8=1,BF8=2),3,0),0)+IF(AND(BE9&lt;&gt;"",BF9&lt;&gt;""),IF(AND(BE9=2,BF9=0),3,0),0)</f>
        <v>0</v>
      </c>
      <c r="AQ18" s="133"/>
      <c r="AR18" s="133"/>
      <c r="AS18" s="146" t="n">
        <f aca="false">IF(AND(BE4&lt;&gt;"",BF4&lt;&gt;""),IF(AND(BE4=1,BF4=0),3,0),0)+IF(AND(BE5&lt;&gt;"",BF5&lt;&gt;""),IF(AND(BE5=0,BF5=2),3,0),0)+IF(AND(BE6&lt;&gt;"",BF6&lt;&gt;""),IF(AND(BE6=2,BF6=0),3,0),0)+IF(AND(BE7&lt;&gt;"",BF7&lt;&gt;""),IF(AND(BE7=0,BF7=3),3,0),0)+IF(AND(BE8&lt;&gt;"",BF8&lt;&gt;""),IF(AND(BE8=1,BF8=2),3,0),0)+IF(AND(BE9&lt;&gt;"",BF9&lt;&gt;""),IF(AND(BE9=1,BF9=0),3,0),0)</f>
        <v>0</v>
      </c>
      <c r="AT18" s="133"/>
      <c r="AU18" s="133"/>
      <c r="AV18" s="147" t="n">
        <f aca="false">IF(AND(BE4&lt;&gt;"",BF4&lt;&gt;""),IF(AND(BE4=2,BF4=0),3,0),0)+IF(AND(BE5&lt;&gt;"",BF5&lt;&gt;""),IF(AND(BE5=0,BF5=2),3,0),0)+IF(AND(BE6&lt;&gt;"",BF6&lt;&gt;""),IF(AND(BE6=3,BF6=0),3,0),0)+IF(AND(BE7&lt;&gt;"",BF7&lt;&gt;""),IF(AND(BE7=1,BF7=2),3,0),0)+IF(AND(BE8&lt;&gt;"",BF8&lt;&gt;""),IF(AND(BE8=1,BF8=1),3,0),0)+IF(AND(BE9&lt;&gt;"",BF9&lt;&gt;""),IF(AND(BE9=3,BF9=1),3,0),0)</f>
        <v>0</v>
      </c>
      <c r="AW18" s="133"/>
      <c r="AX18" s="133"/>
      <c r="AY18" s="148" t="n">
        <f aca="false">IF(AND(BE4&lt;&gt;"",BF4&lt;&gt;""),IF(AND(BE4=2,BF4=0),3,0),0)+IF(AND(BE5&lt;&gt;"",BF5&lt;&gt;""),IF(AND(BE5=1,BF5=2),3,0),0)+IF(AND(BE6&lt;&gt;"",BF6&lt;&gt;""),IF(AND(BE6=3,BF6=0),3,0),0)+IF(AND(BE7&lt;&gt;"",BF7&lt;&gt;""),IF(AND(BE7=1,BF7=2),3,0),0)+IF(AND(BE8&lt;&gt;"",BF8&lt;&gt;""),IF(AND(BE8=1,BF8=1),3,0),0)+IF(AND(BE9&lt;&gt;"",BF9&lt;&gt;""),IF(AND(BE9=1,BF9=0),3,0),0)</f>
        <v>0</v>
      </c>
      <c r="AZ18" s="133"/>
      <c r="BA18" s="133"/>
      <c r="BB18" s="149" t="n">
        <f aca="false">IF(AND(BE4&lt;&gt;"",BF4&lt;&gt;""),IF(AND(BE4=2,BF4=0),3,0),0)+IF(AND(BE5&lt;&gt;"",BF5&lt;&gt;""),IF(AND(BE5=0,BF5=2),3,0),0)+IF(AND(BE6&lt;&gt;"",BF6&lt;&gt;""),IF(AND(BE6=3,BF6=0),3,0),0)+IF(AND(BE7&lt;&gt;"",BF7&lt;&gt;""),IF(AND(BE7=1,BF7=2),3,0),0)+IF(AND(BE8&lt;&gt;"",BF8&lt;&gt;""),IF(AND(BE8=1,BF8=1),3,0),0)+IF(AND(BE9&lt;&gt;"",BF9&lt;&gt;""),IF(AND(BE9=1,BF9=0)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IF(C12&lt;&gt;"",IF(C12="Portugal",4,0),0)+IF(C13&lt;&gt;"",IF(C13="Ghana",2,0),0)+IF(C14&lt;&gt;"",IF(C14="R.D.Congo",1,0),0)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IF(C12&lt;&gt;"",IF(C12="Portugal",4,0),0)+IF(C13&lt;&gt;"",IF(C13="Colombia",2,0),0)+IF(C14&lt;&gt;"",IF(C14="R.D. Congo",1,0),0)</f>
        <v>0</v>
      </c>
      <c r="M19" s="152"/>
      <c r="N19" s="152"/>
      <c r="O19" s="155" t="n">
        <f aca="false">IF(C12&lt;&gt;"",IF(C12="Portugal",4,0),0)+IF(C13&lt;&gt;"",IF(C13="Colombia",2,0),0)+IF(C14&lt;&gt;"",IF(C14="Uzbekistán",1,0),0)</f>
        <v>0</v>
      </c>
      <c r="P19" s="152"/>
      <c r="Q19" s="152"/>
      <c r="R19" s="156" t="n">
        <f aca="false">IF(C12&lt;&gt;"",IF(C12="Portugal",4,0),0)+IF(C13&lt;&gt;"",IF(C13="Colombia",2,0),0)+IF(C14&lt;&gt;"",IF(C14="R.D. Congo",1,0),0)</f>
        <v>0</v>
      </c>
      <c r="S19" s="152"/>
      <c r="T19" s="152"/>
      <c r="U19" s="157" t="n">
        <f aca="false">IF(C12&lt;&gt;"",IF(C12="Portugal",4,0),0)+IF(C13&lt;&gt;"",IF(C13="Colombia",2,0),0)+IF(C14&lt;&gt;"",IF(C14="R.D.Congo",1,0),0)</f>
        <v>0</v>
      </c>
      <c r="V19" s="152"/>
      <c r="W19" s="152"/>
      <c r="X19" s="158" t="n">
        <f aca="false">IF(C12&lt;&gt;"",IF(C12="Portual",4,0),0)+IF(C13&lt;&gt;"",IF(C13="Colombia",2,0),0)+IF(C14&lt;&gt;"",IF(C14="R.D. Congo",1,0),0)</f>
        <v>0</v>
      </c>
      <c r="Y19" s="152"/>
      <c r="Z19" s="152"/>
      <c r="AA19" s="159" t="n">
        <f aca="false">IF(C12&lt;&gt;"",IF(C12="Portugal",4,0),0)+IF(C13&lt;&gt;"",IF(C13="Colombia",2,0),0)+IF(C14&lt;&gt;"",IF(C14="R.D. Congo",1,0),0)</f>
        <v>0</v>
      </c>
      <c r="AB19" s="152"/>
      <c r="AC19" s="152"/>
      <c r="AD19" s="160" t="n">
        <f aca="false">IF(C12&lt;&gt;"",IF(C12="COLOMBIA",4,0),0)+IF(C13&lt;&gt;"",IF(C13="PORTUGAL",2,0),0)+IF(C14&lt;&gt;"",IF(C14="R.D.CONGO",1,0),0)</f>
        <v>0</v>
      </c>
      <c r="AE19" s="152"/>
      <c r="AF19" s="152"/>
      <c r="AG19" s="161" t="n">
        <f aca="false">IF(C12&lt;&gt;"",IF(C12="PORTUGAL",4,0),0)+IF(C13&lt;&gt;"",IF(C13="COLOMBIA",2,0),0)+IF(C14&lt;&gt;"",IF(C14="R.D. CONGO",1,0),0)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IF(C12&lt;&gt;"",IF(C12="Portugal",4,0),0)+IF(C13&lt;&gt;"",IF(C13="Colombia",2,0),0)+IF(C14&lt;&gt;"",IF(C14="Uzbekistan",1,0),0)</f>
        <v>0</v>
      </c>
      <c r="AN19" s="152"/>
      <c r="AO19" s="152"/>
      <c r="AP19" s="164" t="n">
        <f aca="false">IF(C12&lt;&gt;"",IF(C12="Portugal",4,0),0)+IF(C13&lt;&gt;"",IF(C13="Colombia",2,0),0)+IF(C14&lt;&gt;"",IF(C14="R.D. Congo",1,0),0)</f>
        <v>0</v>
      </c>
      <c r="AQ19" s="152"/>
      <c r="AR19" s="152"/>
      <c r="AS19" s="165" t="n">
        <f aca="false">IF(C12&lt;&gt;"",IF(C12="Portugal",4,0),0)+IF(C13&lt;&gt;"",IF(C13="Colombia",2,0),0)+IF(C14&lt;&gt;"",IF(C14="R.D Congo",1,0),0)</f>
        <v>0</v>
      </c>
      <c r="AT19" s="152"/>
      <c r="AU19" s="152"/>
      <c r="AV19" s="166" t="n">
        <f aca="false">IF(C12&lt;&gt;"",IF(C12="Portugal",4,0),0)+IF(C13&lt;&gt;"",IF(C13="colombia",2,0),0)+IF(C14&lt;&gt;"",IF(C14="R.D.congo",1,0),0)</f>
        <v>0</v>
      </c>
      <c r="AW19" s="152"/>
      <c r="AX19" s="152"/>
      <c r="AY19" s="167" t="n">
        <f aca="false">IF(C12&lt;&gt;"",IF(C12="Portugal",4,0),0)+IF(C13&lt;&gt;"",IF(C13="Colombia",2,0),0)+IF(C14&lt;&gt;"",IF(C14="Congo",1,0),0)</f>
        <v>0</v>
      </c>
      <c r="AZ19" s="152"/>
      <c r="BA19" s="152"/>
      <c r="BB19" s="168" t="n">
        <f aca="false">IF(C12&lt;&gt;"",IF(C12="Portugal",4,0),0)+IF(C13&lt;&gt;"",IF(C13="Colombia",2,0),0)+IF(C14&lt;&gt;"",IF(C14="R.D. Congo",1,0),0)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4"/>
    <col collapsed="false" customWidth="true" hidden="false" outlineLevel="0" max="8" min="8" style="0" width="5"/>
    <col collapsed="false" customWidth="true" hidden="false" outlineLevel="0" max="10" min="9" style="0" width="4"/>
    <col collapsed="false" customWidth="true" hidden="false" outlineLevel="0" max="11" min="11" style="0" width="5"/>
    <col collapsed="false" customWidth="true" hidden="false" outlineLevel="0" max="13" min="12" style="0" width="4"/>
    <col collapsed="false" customWidth="true" hidden="false" outlineLevel="0" max="14" min="14" style="0" width="5"/>
    <col collapsed="false" customWidth="true" hidden="false" outlineLevel="0" max="16" min="15" style="0" width="4"/>
    <col collapsed="false" customWidth="true" hidden="false" outlineLevel="0" max="17" min="17" style="0" width="5"/>
    <col collapsed="false" customWidth="true" hidden="false" outlineLevel="0" max="19" min="18" style="0" width="4"/>
    <col collapsed="false" customWidth="true" hidden="false" outlineLevel="0" max="20" min="20" style="0" width="5"/>
    <col collapsed="false" customWidth="true" hidden="false" outlineLevel="0" max="22" min="21" style="0" width="4"/>
    <col collapsed="false" customWidth="true" hidden="false" outlineLevel="0" max="23" min="23" style="0" width="5"/>
    <col collapsed="false" customWidth="true" hidden="false" outlineLevel="0" max="25" min="24" style="0" width="4"/>
    <col collapsed="false" customWidth="true" hidden="false" outlineLevel="0" max="26" min="26" style="0" width="5"/>
    <col collapsed="false" customWidth="true" hidden="false" outlineLevel="0" max="28" min="27" style="0" width="4"/>
    <col collapsed="false" customWidth="true" hidden="false" outlineLevel="0" max="29" min="29" style="0" width="5"/>
    <col collapsed="false" customWidth="true" hidden="false" outlineLevel="0" max="31" min="30" style="0" width="4"/>
    <col collapsed="false" customWidth="true" hidden="false" outlineLevel="0" max="32" min="32" style="0" width="5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7" min="36" style="0" width="4"/>
    <col collapsed="false" customWidth="true" hidden="false" outlineLevel="0" max="38" min="38" style="0" width="5"/>
    <col collapsed="false" customWidth="true" hidden="false" outlineLevel="0" max="40" min="39" style="0" width="4"/>
    <col collapsed="false" customWidth="true" hidden="false" outlineLevel="0" max="41" min="41" style="0" width="5"/>
    <col collapsed="false" customWidth="true" hidden="false" outlineLevel="0" max="43" min="42" style="0" width="4"/>
    <col collapsed="false" customWidth="true" hidden="false" outlineLevel="0" max="44" min="44" style="0" width="5"/>
    <col collapsed="false" customWidth="true" hidden="false" outlineLevel="0" max="46" min="45" style="0" width="4"/>
    <col collapsed="false" customWidth="true" hidden="false" outlineLevel="0" max="47" min="47" style="0" width="5"/>
    <col collapsed="false" customWidth="true" hidden="false" outlineLevel="0" max="49" min="48" style="0" width="4"/>
    <col collapsed="false" customWidth="true" hidden="false" outlineLevel="0" max="50" min="50" style="0" width="5"/>
    <col collapsed="false" customWidth="true" hidden="false" outlineLevel="0" max="52" min="51" style="0" width="4"/>
    <col collapsed="false" customWidth="true" hidden="false" outlineLevel="0" max="53" min="53" style="0" width="5"/>
    <col collapsed="false" customWidth="true" hidden="false" outlineLevel="0" max="55" min="54" style="0" width="4"/>
    <col collapsed="false" customWidth="true" hidden="false" outlineLevel="0" max="56" min="56" style="0" width="5"/>
    <col collapsed="false" customWidth="true" hidden="false" outlineLevel="0" max="58" min="57" style="0" width="7"/>
  </cols>
  <sheetData>
    <row r="1" customFormat="false" ht="25.5" hidden="false" customHeight="true" outlineLevel="0" collapsed="false">
      <c r="A1" s="42" t="s">
        <v>198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</row>
    <row r="2" customFormat="false" ht="18" hidden="false" customHeight="true" outlineLevel="0" collapsed="false">
      <c r="A2" s="43" t="s">
        <v>23</v>
      </c>
      <c r="B2" s="43" t="s">
        <v>24</v>
      </c>
      <c r="C2" s="43" t="s">
        <v>25</v>
      </c>
      <c r="D2" s="43" t="s">
        <v>26</v>
      </c>
      <c r="E2" s="43" t="s">
        <v>27</v>
      </c>
      <c r="F2" s="44" t="s">
        <v>5</v>
      </c>
      <c r="G2" s="44"/>
      <c r="H2" s="44"/>
      <c r="I2" s="45" t="s">
        <v>6</v>
      </c>
      <c r="J2" s="45"/>
      <c r="K2" s="45"/>
      <c r="L2" s="46" t="s">
        <v>7</v>
      </c>
      <c r="M2" s="46"/>
      <c r="N2" s="46"/>
      <c r="O2" s="47" t="s">
        <v>8</v>
      </c>
      <c r="P2" s="47"/>
      <c r="Q2" s="47"/>
      <c r="R2" s="48" t="s">
        <v>9</v>
      </c>
      <c r="S2" s="48"/>
      <c r="T2" s="48"/>
      <c r="U2" s="49" t="s">
        <v>10</v>
      </c>
      <c r="V2" s="49"/>
      <c r="W2" s="49"/>
      <c r="X2" s="50" t="s">
        <v>11</v>
      </c>
      <c r="Y2" s="50"/>
      <c r="Z2" s="50"/>
      <c r="AA2" s="51" t="s">
        <v>12</v>
      </c>
      <c r="AB2" s="51"/>
      <c r="AC2" s="51"/>
      <c r="AD2" s="52" t="s">
        <v>13</v>
      </c>
      <c r="AE2" s="52"/>
      <c r="AF2" s="52"/>
      <c r="AG2" s="53" t="s">
        <v>14</v>
      </c>
      <c r="AH2" s="53"/>
      <c r="AI2" s="53"/>
      <c r="AJ2" s="54" t="s">
        <v>15</v>
      </c>
      <c r="AK2" s="54"/>
      <c r="AL2" s="54"/>
      <c r="AM2" s="55" t="s">
        <v>16</v>
      </c>
      <c r="AN2" s="55"/>
      <c r="AO2" s="55"/>
      <c r="AP2" s="56" t="s">
        <v>17</v>
      </c>
      <c r="AQ2" s="56"/>
      <c r="AR2" s="56"/>
      <c r="AS2" s="57" t="s">
        <v>18</v>
      </c>
      <c r="AT2" s="57"/>
      <c r="AU2" s="57"/>
      <c r="AV2" s="58" t="s">
        <v>19</v>
      </c>
      <c r="AW2" s="58"/>
      <c r="AX2" s="58"/>
      <c r="AY2" s="59" t="s">
        <v>20</v>
      </c>
      <c r="AZ2" s="59"/>
      <c r="BA2" s="59"/>
      <c r="BB2" s="60" t="s">
        <v>21</v>
      </c>
      <c r="BC2" s="60"/>
      <c r="BD2" s="60"/>
      <c r="BE2" s="61" t="s">
        <v>28</v>
      </c>
      <c r="BF2" s="61"/>
    </row>
    <row r="3" customFormat="false" ht="15.75" hidden="false" customHeight="true" outlineLevel="0" collapsed="false">
      <c r="A3" s="43"/>
      <c r="B3" s="43"/>
      <c r="C3" s="43"/>
      <c r="D3" s="43"/>
      <c r="E3" s="43"/>
      <c r="F3" s="62" t="s">
        <v>29</v>
      </c>
      <c r="G3" s="62" t="s">
        <v>30</v>
      </c>
      <c r="H3" s="62" t="s">
        <v>31</v>
      </c>
      <c r="I3" s="63" t="s">
        <v>29</v>
      </c>
      <c r="J3" s="63" t="s">
        <v>30</v>
      </c>
      <c r="K3" s="63" t="s">
        <v>31</v>
      </c>
      <c r="L3" s="64" t="s">
        <v>29</v>
      </c>
      <c r="M3" s="64" t="s">
        <v>30</v>
      </c>
      <c r="N3" s="64" t="s">
        <v>31</v>
      </c>
      <c r="O3" s="65" t="s">
        <v>29</v>
      </c>
      <c r="P3" s="65" t="s">
        <v>30</v>
      </c>
      <c r="Q3" s="65" t="s">
        <v>31</v>
      </c>
      <c r="R3" s="66" t="s">
        <v>29</v>
      </c>
      <c r="S3" s="66" t="s">
        <v>30</v>
      </c>
      <c r="T3" s="66" t="s">
        <v>31</v>
      </c>
      <c r="U3" s="67" t="s">
        <v>29</v>
      </c>
      <c r="V3" s="67" t="s">
        <v>30</v>
      </c>
      <c r="W3" s="67" t="s">
        <v>31</v>
      </c>
      <c r="X3" s="68" t="s">
        <v>29</v>
      </c>
      <c r="Y3" s="68" t="s">
        <v>30</v>
      </c>
      <c r="Z3" s="68" t="s">
        <v>31</v>
      </c>
      <c r="AA3" s="69" t="s">
        <v>29</v>
      </c>
      <c r="AB3" s="69" t="s">
        <v>30</v>
      </c>
      <c r="AC3" s="69" t="s">
        <v>31</v>
      </c>
      <c r="AD3" s="70" t="s">
        <v>29</v>
      </c>
      <c r="AE3" s="70" t="s">
        <v>30</v>
      </c>
      <c r="AF3" s="70" t="s">
        <v>31</v>
      </c>
      <c r="AG3" s="71" t="s">
        <v>29</v>
      </c>
      <c r="AH3" s="71" t="s">
        <v>30</v>
      </c>
      <c r="AI3" s="71" t="s">
        <v>31</v>
      </c>
      <c r="AJ3" s="72" t="s">
        <v>29</v>
      </c>
      <c r="AK3" s="72" t="s">
        <v>30</v>
      </c>
      <c r="AL3" s="72" t="s">
        <v>31</v>
      </c>
      <c r="AM3" s="73" t="s">
        <v>29</v>
      </c>
      <c r="AN3" s="73" t="s">
        <v>30</v>
      </c>
      <c r="AO3" s="73" t="s">
        <v>31</v>
      </c>
      <c r="AP3" s="74" t="s">
        <v>29</v>
      </c>
      <c r="AQ3" s="74" t="s">
        <v>30</v>
      </c>
      <c r="AR3" s="74" t="s">
        <v>31</v>
      </c>
      <c r="AS3" s="75" t="s">
        <v>29</v>
      </c>
      <c r="AT3" s="75" t="s">
        <v>30</v>
      </c>
      <c r="AU3" s="75" t="s">
        <v>31</v>
      </c>
      <c r="AV3" s="76" t="s">
        <v>29</v>
      </c>
      <c r="AW3" s="76" t="s">
        <v>30</v>
      </c>
      <c r="AX3" s="76" t="s">
        <v>31</v>
      </c>
      <c r="AY3" s="77" t="s">
        <v>29</v>
      </c>
      <c r="AZ3" s="77" t="s">
        <v>30</v>
      </c>
      <c r="BA3" s="77" t="s">
        <v>31</v>
      </c>
      <c r="BB3" s="78" t="s">
        <v>29</v>
      </c>
      <c r="BC3" s="78" t="s">
        <v>30</v>
      </c>
      <c r="BD3" s="78" t="s">
        <v>31</v>
      </c>
      <c r="BE3" s="79" t="s">
        <v>32</v>
      </c>
      <c r="BF3" s="79" t="s">
        <v>33</v>
      </c>
    </row>
    <row r="4" customFormat="false" ht="19.5" hidden="false" customHeight="true" outlineLevel="0" collapsed="false">
      <c r="A4" s="80" t="n">
        <v>1</v>
      </c>
      <c r="B4" s="81" t="s">
        <v>199</v>
      </c>
      <c r="C4" s="80" t="s">
        <v>35</v>
      </c>
      <c r="D4" s="81" t="s">
        <v>200</v>
      </c>
      <c r="E4" s="80"/>
      <c r="F4" s="82" t="n">
        <v>1</v>
      </c>
      <c r="G4" s="82" t="n">
        <v>0</v>
      </c>
      <c r="H4" s="82" t="s">
        <v>37</v>
      </c>
      <c r="I4" s="82"/>
      <c r="J4" s="82"/>
      <c r="K4" s="82"/>
      <c r="L4" s="82" t="n">
        <v>3</v>
      </c>
      <c r="M4" s="82" t="n">
        <v>1</v>
      </c>
      <c r="N4" s="82" t="s">
        <v>38</v>
      </c>
      <c r="O4" s="82" t="n">
        <v>2</v>
      </c>
      <c r="P4" s="82" t="n">
        <v>1</v>
      </c>
      <c r="Q4" s="82" t="s">
        <v>37</v>
      </c>
      <c r="R4" s="82" t="n">
        <v>2</v>
      </c>
      <c r="S4" s="82" t="n">
        <v>3</v>
      </c>
      <c r="T4" s="82" t="s">
        <v>41</v>
      </c>
      <c r="U4" s="82" t="n">
        <v>2</v>
      </c>
      <c r="V4" s="82" t="n">
        <v>1</v>
      </c>
      <c r="W4" s="82" t="s">
        <v>37</v>
      </c>
      <c r="X4" s="82" t="n">
        <v>2</v>
      </c>
      <c r="Y4" s="82" t="n">
        <v>1</v>
      </c>
      <c r="Z4" s="82" t="s">
        <v>37</v>
      </c>
      <c r="AA4" s="82" t="n">
        <v>2</v>
      </c>
      <c r="AB4" s="82" t="n">
        <v>0</v>
      </c>
      <c r="AC4" s="82" t="s">
        <v>37</v>
      </c>
      <c r="AD4" s="82" t="n">
        <v>1</v>
      </c>
      <c r="AE4" s="82" t="n">
        <v>1</v>
      </c>
      <c r="AF4" s="82" t="s">
        <v>41</v>
      </c>
      <c r="AG4" s="82" t="n">
        <v>2</v>
      </c>
      <c r="AH4" s="82" t="n">
        <v>1</v>
      </c>
      <c r="AI4" s="82" t="s">
        <v>37</v>
      </c>
      <c r="AJ4" s="82"/>
      <c r="AK4" s="82"/>
      <c r="AL4" s="82"/>
      <c r="AM4" s="82" t="n">
        <v>1</v>
      </c>
      <c r="AN4" s="82" t="n">
        <v>1</v>
      </c>
      <c r="AO4" s="82" t="s">
        <v>38</v>
      </c>
      <c r="AP4" s="82" t="n">
        <v>2</v>
      </c>
      <c r="AQ4" s="82" t="n">
        <v>1</v>
      </c>
      <c r="AR4" s="82" t="s">
        <v>37</v>
      </c>
      <c r="AS4" s="82" t="n">
        <v>1</v>
      </c>
      <c r="AT4" s="82" t="n">
        <v>2</v>
      </c>
      <c r="AU4" s="82" t="s">
        <v>41</v>
      </c>
      <c r="AV4" s="82" t="n">
        <v>2</v>
      </c>
      <c r="AW4" s="82" t="n">
        <v>1</v>
      </c>
      <c r="AX4" s="82" t="s">
        <v>37</v>
      </c>
      <c r="AY4" s="82" t="n">
        <v>1</v>
      </c>
      <c r="AZ4" s="82" t="n">
        <v>1</v>
      </c>
      <c r="BA4" s="82" t="s">
        <v>38</v>
      </c>
      <c r="BB4" s="82" t="n">
        <v>2</v>
      </c>
      <c r="BC4" s="82" t="n">
        <v>2</v>
      </c>
      <c r="BD4" s="82" t="s">
        <v>38</v>
      </c>
      <c r="BE4" s="83"/>
      <c r="BF4" s="83"/>
    </row>
    <row r="5" customFormat="false" ht="19.5" hidden="false" customHeight="true" outlineLevel="0" collapsed="false">
      <c r="A5" s="84" t="n">
        <v>1</v>
      </c>
      <c r="B5" s="85" t="s">
        <v>189</v>
      </c>
      <c r="C5" s="84" t="s">
        <v>35</v>
      </c>
      <c r="D5" s="85" t="s">
        <v>201</v>
      </c>
      <c r="E5" s="84"/>
      <c r="F5" s="86" t="n">
        <v>2</v>
      </c>
      <c r="G5" s="86" t="n">
        <v>0</v>
      </c>
      <c r="H5" s="86" t="s">
        <v>37</v>
      </c>
      <c r="I5" s="86"/>
      <c r="J5" s="86"/>
      <c r="K5" s="86"/>
      <c r="L5" s="86" t="n">
        <v>2</v>
      </c>
      <c r="M5" s="86" t="n">
        <v>1</v>
      </c>
      <c r="N5" s="86" t="s">
        <v>38</v>
      </c>
      <c r="O5" s="86" t="n">
        <v>1</v>
      </c>
      <c r="P5" s="86" t="n">
        <v>1</v>
      </c>
      <c r="Q5" s="86" t="s">
        <v>38</v>
      </c>
      <c r="R5" s="86" t="n">
        <v>2</v>
      </c>
      <c r="S5" s="86" t="n">
        <v>1</v>
      </c>
      <c r="T5" s="86" t="s">
        <v>37</v>
      </c>
      <c r="U5" s="86" t="n">
        <v>2</v>
      </c>
      <c r="V5" s="86" t="n">
        <v>0</v>
      </c>
      <c r="W5" s="86" t="s">
        <v>37</v>
      </c>
      <c r="X5" s="86" t="n">
        <v>2</v>
      </c>
      <c r="Y5" s="86" t="n">
        <v>0</v>
      </c>
      <c r="Z5" s="86" t="s">
        <v>37</v>
      </c>
      <c r="AA5" s="86" t="n">
        <v>2</v>
      </c>
      <c r="AB5" s="86" t="n">
        <v>1</v>
      </c>
      <c r="AC5" s="86" t="s">
        <v>37</v>
      </c>
      <c r="AD5" s="86" t="n">
        <v>2</v>
      </c>
      <c r="AE5" s="86" t="n">
        <v>1</v>
      </c>
      <c r="AF5" s="86" t="s">
        <v>37</v>
      </c>
      <c r="AG5" s="86" t="n">
        <v>2</v>
      </c>
      <c r="AH5" s="86" t="n">
        <v>1</v>
      </c>
      <c r="AI5" s="86" t="s">
        <v>38</v>
      </c>
      <c r="AJ5" s="86"/>
      <c r="AK5" s="86"/>
      <c r="AL5" s="86"/>
      <c r="AM5" s="86" t="n">
        <v>2</v>
      </c>
      <c r="AN5" s="86" t="n">
        <v>0</v>
      </c>
      <c r="AO5" s="86" t="s">
        <v>37</v>
      </c>
      <c r="AP5" s="86" t="n">
        <v>2</v>
      </c>
      <c r="AQ5" s="86" t="n">
        <v>0</v>
      </c>
      <c r="AR5" s="86" t="s">
        <v>37</v>
      </c>
      <c r="AS5" s="86" t="n">
        <v>1</v>
      </c>
      <c r="AT5" s="86" t="n">
        <v>0</v>
      </c>
      <c r="AU5" s="86" t="s">
        <v>37</v>
      </c>
      <c r="AV5" s="86" t="n">
        <v>1</v>
      </c>
      <c r="AW5" s="86" t="n">
        <v>1</v>
      </c>
      <c r="AX5" s="86" t="s">
        <v>38</v>
      </c>
      <c r="AY5" s="86" t="n">
        <v>2</v>
      </c>
      <c r="AZ5" s="86" t="n">
        <v>1</v>
      </c>
      <c r="BA5" s="86" t="s">
        <v>38</v>
      </c>
      <c r="BB5" s="86" t="n">
        <v>1</v>
      </c>
      <c r="BC5" s="86" t="n">
        <v>0</v>
      </c>
      <c r="BD5" s="86" t="s">
        <v>37</v>
      </c>
      <c r="BE5" s="83"/>
      <c r="BF5" s="83"/>
    </row>
    <row r="6" customFormat="false" ht="19.5" hidden="false" customHeight="true" outlineLevel="0" collapsed="false">
      <c r="A6" s="80" t="n">
        <v>2</v>
      </c>
      <c r="B6" s="81" t="s">
        <v>199</v>
      </c>
      <c r="C6" s="80" t="s">
        <v>35</v>
      </c>
      <c r="D6" s="81" t="s">
        <v>189</v>
      </c>
      <c r="E6" s="80"/>
      <c r="F6" s="82" t="n">
        <v>5</v>
      </c>
      <c r="G6" s="82" t="n">
        <v>1</v>
      </c>
      <c r="H6" s="82" t="s">
        <v>37</v>
      </c>
      <c r="I6" s="82"/>
      <c r="J6" s="82"/>
      <c r="K6" s="82"/>
      <c r="L6" s="82" t="n">
        <v>1</v>
      </c>
      <c r="M6" s="82" t="n">
        <v>0</v>
      </c>
      <c r="N6" s="82" t="s">
        <v>37</v>
      </c>
      <c r="O6" s="82" t="n">
        <v>2</v>
      </c>
      <c r="P6" s="82" t="n">
        <v>0</v>
      </c>
      <c r="Q6" s="82" t="s">
        <v>37</v>
      </c>
      <c r="R6" s="82" t="n">
        <v>1</v>
      </c>
      <c r="S6" s="82" t="n">
        <v>2</v>
      </c>
      <c r="T6" s="82" t="s">
        <v>37</v>
      </c>
      <c r="U6" s="82" t="n">
        <v>3</v>
      </c>
      <c r="V6" s="82" t="n">
        <v>0</v>
      </c>
      <c r="W6" s="82" t="s">
        <v>37</v>
      </c>
      <c r="X6" s="82" t="n">
        <v>2</v>
      </c>
      <c r="Y6" s="82" t="n">
        <v>0</v>
      </c>
      <c r="Z6" s="82" t="s">
        <v>37</v>
      </c>
      <c r="AA6" s="82" t="n">
        <v>2</v>
      </c>
      <c r="AB6" s="82" t="n">
        <v>0</v>
      </c>
      <c r="AC6" s="82" t="s">
        <v>37</v>
      </c>
      <c r="AD6" s="82" t="n">
        <v>1</v>
      </c>
      <c r="AE6" s="82" t="n">
        <v>0</v>
      </c>
      <c r="AF6" s="82" t="s">
        <v>38</v>
      </c>
      <c r="AG6" s="82" t="n">
        <v>2</v>
      </c>
      <c r="AH6" s="82" t="n">
        <v>1</v>
      </c>
      <c r="AI6" s="82" t="s">
        <v>37</v>
      </c>
      <c r="AJ6" s="82"/>
      <c r="AK6" s="82"/>
      <c r="AL6" s="82"/>
      <c r="AM6" s="82" t="n">
        <v>3</v>
      </c>
      <c r="AN6" s="82" t="n">
        <v>1</v>
      </c>
      <c r="AO6" s="82" t="s">
        <v>37</v>
      </c>
      <c r="AP6" s="82" t="n">
        <v>1</v>
      </c>
      <c r="AQ6" s="82" t="n">
        <v>1</v>
      </c>
      <c r="AR6" s="82" t="s">
        <v>37</v>
      </c>
      <c r="AS6" s="82" t="n">
        <v>2</v>
      </c>
      <c r="AT6" s="82" t="n">
        <v>1</v>
      </c>
      <c r="AU6" s="82" t="s">
        <v>37</v>
      </c>
      <c r="AV6" s="82" t="n">
        <v>2</v>
      </c>
      <c r="AW6" s="82" t="n">
        <v>1</v>
      </c>
      <c r="AX6" s="82" t="s">
        <v>37</v>
      </c>
      <c r="AY6" s="82" t="n">
        <v>2</v>
      </c>
      <c r="AZ6" s="82" t="n">
        <v>0</v>
      </c>
      <c r="BA6" s="82" t="s">
        <v>37</v>
      </c>
      <c r="BB6" s="82" t="n">
        <v>2</v>
      </c>
      <c r="BC6" s="82" t="n">
        <v>1</v>
      </c>
      <c r="BD6" s="82" t="s">
        <v>37</v>
      </c>
      <c r="BE6" s="83"/>
      <c r="BF6" s="83"/>
    </row>
    <row r="7" customFormat="false" ht="19.5" hidden="false" customHeight="true" outlineLevel="0" collapsed="false">
      <c r="A7" s="84" t="n">
        <v>2</v>
      </c>
      <c r="B7" s="85" t="s">
        <v>201</v>
      </c>
      <c r="C7" s="84" t="s">
        <v>35</v>
      </c>
      <c r="D7" s="85" t="s">
        <v>200</v>
      </c>
      <c r="E7" s="84"/>
      <c r="F7" s="86" t="n">
        <v>1</v>
      </c>
      <c r="G7" s="86" t="n">
        <v>2</v>
      </c>
      <c r="H7" s="86" t="s">
        <v>41</v>
      </c>
      <c r="I7" s="86"/>
      <c r="J7" s="86"/>
      <c r="K7" s="86"/>
      <c r="L7" s="86" t="n">
        <v>1</v>
      </c>
      <c r="M7" s="86" t="n">
        <v>2</v>
      </c>
      <c r="N7" s="86" t="s">
        <v>41</v>
      </c>
      <c r="O7" s="86" t="n">
        <v>0</v>
      </c>
      <c r="P7" s="86" t="n">
        <v>2</v>
      </c>
      <c r="Q7" s="86" t="s">
        <v>41</v>
      </c>
      <c r="R7" s="86" t="n">
        <v>1</v>
      </c>
      <c r="S7" s="86" t="n">
        <v>3</v>
      </c>
      <c r="T7" s="86" t="s">
        <v>41</v>
      </c>
      <c r="U7" s="86" t="n">
        <v>0</v>
      </c>
      <c r="V7" s="86" t="n">
        <v>4</v>
      </c>
      <c r="W7" s="86" t="s">
        <v>41</v>
      </c>
      <c r="X7" s="86" t="n">
        <v>0</v>
      </c>
      <c r="Y7" s="86" t="n">
        <v>3</v>
      </c>
      <c r="Z7" s="86" t="s">
        <v>41</v>
      </c>
      <c r="AA7" s="86" t="n">
        <v>0</v>
      </c>
      <c r="AB7" s="86" t="n">
        <v>2</v>
      </c>
      <c r="AC7" s="86" t="s">
        <v>41</v>
      </c>
      <c r="AD7" s="86" t="n">
        <v>0</v>
      </c>
      <c r="AE7" s="86" t="n">
        <v>2</v>
      </c>
      <c r="AF7" s="86" t="s">
        <v>41</v>
      </c>
      <c r="AG7" s="86" t="n">
        <v>0</v>
      </c>
      <c r="AH7" s="86" t="n">
        <v>2</v>
      </c>
      <c r="AI7" s="86" t="s">
        <v>41</v>
      </c>
      <c r="AJ7" s="86"/>
      <c r="AK7" s="86"/>
      <c r="AL7" s="86"/>
      <c r="AM7" s="86" t="n">
        <v>1</v>
      </c>
      <c r="AN7" s="86" t="n">
        <v>2</v>
      </c>
      <c r="AO7" s="86" t="s">
        <v>41</v>
      </c>
      <c r="AP7" s="86" t="n">
        <v>0</v>
      </c>
      <c r="AQ7" s="86" t="n">
        <v>2</v>
      </c>
      <c r="AR7" s="86" t="s">
        <v>41</v>
      </c>
      <c r="AS7" s="86" t="n">
        <v>0</v>
      </c>
      <c r="AT7" s="86" t="n">
        <v>2</v>
      </c>
      <c r="AU7" s="86" t="s">
        <v>41</v>
      </c>
      <c r="AV7" s="86" t="n">
        <v>0</v>
      </c>
      <c r="AW7" s="86" t="n">
        <v>1</v>
      </c>
      <c r="AX7" s="86" t="s">
        <v>41</v>
      </c>
      <c r="AY7" s="86" t="n">
        <v>1</v>
      </c>
      <c r="AZ7" s="86" t="n">
        <v>1</v>
      </c>
      <c r="BA7" s="86" t="s">
        <v>41</v>
      </c>
      <c r="BB7" s="86" t="n">
        <v>1</v>
      </c>
      <c r="BC7" s="86" t="n">
        <v>3</v>
      </c>
      <c r="BD7" s="86" t="s">
        <v>41</v>
      </c>
      <c r="BE7" s="83"/>
      <c r="BF7" s="83"/>
    </row>
    <row r="8" customFormat="false" ht="19.5" hidden="false" customHeight="true" outlineLevel="0" collapsed="false">
      <c r="A8" s="80" t="n">
        <v>3</v>
      </c>
      <c r="B8" s="81" t="s">
        <v>201</v>
      </c>
      <c r="C8" s="80" t="s">
        <v>35</v>
      </c>
      <c r="D8" s="81" t="s">
        <v>199</v>
      </c>
      <c r="E8" s="80"/>
      <c r="F8" s="82" t="n">
        <v>0</v>
      </c>
      <c r="G8" s="82" t="n">
        <v>6</v>
      </c>
      <c r="H8" s="82" t="s">
        <v>41</v>
      </c>
      <c r="I8" s="82"/>
      <c r="J8" s="82"/>
      <c r="K8" s="82"/>
      <c r="L8" s="82" t="n">
        <v>1</v>
      </c>
      <c r="M8" s="82" t="n">
        <v>3</v>
      </c>
      <c r="N8" s="82" t="s">
        <v>41</v>
      </c>
      <c r="O8" s="82" t="n">
        <v>0</v>
      </c>
      <c r="P8" s="82" t="n">
        <v>2</v>
      </c>
      <c r="Q8" s="82" t="s">
        <v>41</v>
      </c>
      <c r="R8" s="82" t="n">
        <v>1</v>
      </c>
      <c r="S8" s="82" t="n">
        <v>2</v>
      </c>
      <c r="T8" s="82" t="s">
        <v>41</v>
      </c>
      <c r="U8" s="82" t="n">
        <v>0</v>
      </c>
      <c r="V8" s="82" t="n">
        <v>4</v>
      </c>
      <c r="W8" s="82" t="s">
        <v>41</v>
      </c>
      <c r="X8" s="82" t="n">
        <v>0</v>
      </c>
      <c r="Y8" s="82" t="n">
        <v>5</v>
      </c>
      <c r="Z8" s="82" t="s">
        <v>41</v>
      </c>
      <c r="AA8" s="82" t="n">
        <v>0</v>
      </c>
      <c r="AB8" s="82" t="n">
        <v>2</v>
      </c>
      <c r="AC8" s="82" t="s">
        <v>41</v>
      </c>
      <c r="AD8" s="82" t="n">
        <v>1</v>
      </c>
      <c r="AE8" s="82" t="n">
        <v>3</v>
      </c>
      <c r="AF8" s="82" t="s">
        <v>41</v>
      </c>
      <c r="AG8" s="82" t="n">
        <v>1</v>
      </c>
      <c r="AH8" s="82" t="n">
        <v>3</v>
      </c>
      <c r="AI8" s="82" t="s">
        <v>41</v>
      </c>
      <c r="AJ8" s="82"/>
      <c r="AK8" s="82"/>
      <c r="AL8" s="82"/>
      <c r="AM8" s="82" t="n">
        <v>0</v>
      </c>
      <c r="AN8" s="82" t="n">
        <v>2</v>
      </c>
      <c r="AO8" s="82" t="s">
        <v>41</v>
      </c>
      <c r="AP8" s="82" t="n">
        <v>0</v>
      </c>
      <c r="AQ8" s="82" t="n">
        <v>4</v>
      </c>
      <c r="AR8" s="82" t="s">
        <v>41</v>
      </c>
      <c r="AS8" s="82" t="n">
        <v>1</v>
      </c>
      <c r="AT8" s="82" t="n">
        <v>2</v>
      </c>
      <c r="AU8" s="82" t="s">
        <v>41</v>
      </c>
      <c r="AV8" s="82" t="n">
        <v>1</v>
      </c>
      <c r="AW8" s="82" t="n">
        <v>2</v>
      </c>
      <c r="AX8" s="82" t="s">
        <v>41</v>
      </c>
      <c r="AY8" s="82" t="n">
        <v>0</v>
      </c>
      <c r="AZ8" s="82" t="n">
        <v>1</v>
      </c>
      <c r="BA8" s="82" t="s">
        <v>41</v>
      </c>
      <c r="BB8" s="82" t="n">
        <v>0</v>
      </c>
      <c r="BC8" s="82" t="n">
        <v>2</v>
      </c>
      <c r="BD8" s="82" t="s">
        <v>41</v>
      </c>
      <c r="BE8" s="83"/>
      <c r="BF8" s="83"/>
    </row>
    <row r="9" customFormat="false" ht="19.5" hidden="false" customHeight="true" outlineLevel="0" collapsed="false">
      <c r="A9" s="84" t="n">
        <v>3</v>
      </c>
      <c r="B9" s="85" t="s">
        <v>200</v>
      </c>
      <c r="C9" s="84" t="s">
        <v>35</v>
      </c>
      <c r="D9" s="85" t="s">
        <v>189</v>
      </c>
      <c r="E9" s="84"/>
      <c r="F9" s="86" t="n">
        <v>3</v>
      </c>
      <c r="G9" s="86" t="n">
        <v>0</v>
      </c>
      <c r="H9" s="86" t="s">
        <v>37</v>
      </c>
      <c r="I9" s="86"/>
      <c r="J9" s="86"/>
      <c r="K9" s="86"/>
      <c r="L9" s="86" t="n">
        <v>2</v>
      </c>
      <c r="M9" s="86" t="n">
        <v>1</v>
      </c>
      <c r="N9" s="86" t="s">
        <v>38</v>
      </c>
      <c r="O9" s="86" t="n">
        <v>1</v>
      </c>
      <c r="P9" s="86" t="n">
        <v>1</v>
      </c>
      <c r="Q9" s="86" t="s">
        <v>38</v>
      </c>
      <c r="R9" s="86" t="n">
        <v>3</v>
      </c>
      <c r="S9" s="86" t="n">
        <v>2</v>
      </c>
      <c r="T9" s="86" t="s">
        <v>37</v>
      </c>
      <c r="U9" s="86" t="n">
        <v>2</v>
      </c>
      <c r="V9" s="86" t="n">
        <v>1</v>
      </c>
      <c r="W9" s="86" t="s">
        <v>37</v>
      </c>
      <c r="X9" s="86" t="n">
        <v>1</v>
      </c>
      <c r="Y9" s="86" t="n">
        <v>1</v>
      </c>
      <c r="Z9" s="86" t="s">
        <v>38</v>
      </c>
      <c r="AA9" s="86" t="n">
        <v>1</v>
      </c>
      <c r="AB9" s="86" t="n">
        <v>1</v>
      </c>
      <c r="AC9" s="86" t="s">
        <v>38</v>
      </c>
      <c r="AD9" s="86" t="n">
        <v>1</v>
      </c>
      <c r="AE9" s="86" t="n">
        <v>2</v>
      </c>
      <c r="AF9" s="86" t="s">
        <v>38</v>
      </c>
      <c r="AG9" s="86" t="n">
        <v>2</v>
      </c>
      <c r="AH9" s="86" t="n">
        <v>1</v>
      </c>
      <c r="AI9" s="86" t="s">
        <v>38</v>
      </c>
      <c r="AJ9" s="86"/>
      <c r="AK9" s="86"/>
      <c r="AL9" s="86"/>
      <c r="AM9" s="86" t="n">
        <v>1</v>
      </c>
      <c r="AN9" s="86" t="n">
        <v>1</v>
      </c>
      <c r="AO9" s="86" t="s">
        <v>38</v>
      </c>
      <c r="AP9" s="86" t="n">
        <v>2</v>
      </c>
      <c r="AQ9" s="86" t="n">
        <v>1</v>
      </c>
      <c r="AR9" s="86" t="s">
        <v>37</v>
      </c>
      <c r="AS9" s="86" t="n">
        <v>2</v>
      </c>
      <c r="AT9" s="86" t="n">
        <v>1</v>
      </c>
      <c r="AU9" s="86" t="s">
        <v>37</v>
      </c>
      <c r="AV9" s="86" t="n">
        <v>1</v>
      </c>
      <c r="AW9" s="86" t="n">
        <v>0</v>
      </c>
      <c r="AX9" s="86" t="s">
        <v>37</v>
      </c>
      <c r="AY9" s="86" t="n">
        <v>2</v>
      </c>
      <c r="AZ9" s="86" t="n">
        <v>2</v>
      </c>
      <c r="BA9" s="86" t="s">
        <v>37</v>
      </c>
      <c r="BB9" s="86" t="n">
        <v>1</v>
      </c>
      <c r="BC9" s="86" t="n">
        <v>1</v>
      </c>
      <c r="BD9" s="86" t="s">
        <v>38</v>
      </c>
      <c r="BE9" s="83"/>
      <c r="BF9" s="83"/>
    </row>
    <row r="11" customFormat="false" ht="19.5" hidden="false" customHeight="true" outlineLevel="0" collapsed="false">
      <c r="A11" s="87" t="s">
        <v>42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</row>
    <row r="12" customFormat="false" ht="19.5" hidden="false" customHeight="true" outlineLevel="0" collapsed="false">
      <c r="A12" s="88" t="s">
        <v>43</v>
      </c>
      <c r="B12" s="88"/>
      <c r="C12" s="89"/>
      <c r="D12" s="89"/>
      <c r="E12" s="89"/>
      <c r="F12" s="90" t="s">
        <v>199</v>
      </c>
      <c r="G12" s="90"/>
      <c r="H12" s="90"/>
      <c r="I12" s="91"/>
      <c r="J12" s="91"/>
      <c r="K12" s="91"/>
      <c r="L12" s="92" t="s">
        <v>199</v>
      </c>
      <c r="M12" s="92"/>
      <c r="N12" s="92"/>
      <c r="O12" s="93" t="s">
        <v>199</v>
      </c>
      <c r="P12" s="93"/>
      <c r="Q12" s="93"/>
      <c r="R12" s="94" t="s">
        <v>200</v>
      </c>
      <c r="S12" s="94"/>
      <c r="T12" s="94"/>
      <c r="U12" s="95" t="s">
        <v>199</v>
      </c>
      <c r="V12" s="95"/>
      <c r="W12" s="95"/>
      <c r="X12" s="96" t="s">
        <v>199</v>
      </c>
      <c r="Y12" s="96"/>
      <c r="Z12" s="96"/>
      <c r="AA12" s="97" t="s">
        <v>199</v>
      </c>
      <c r="AB12" s="97"/>
      <c r="AC12" s="97"/>
      <c r="AD12" s="98" t="s">
        <v>202</v>
      </c>
      <c r="AE12" s="98"/>
      <c r="AF12" s="98"/>
      <c r="AG12" s="99" t="s">
        <v>203</v>
      </c>
      <c r="AH12" s="99"/>
      <c r="AI12" s="99"/>
      <c r="AJ12" s="100"/>
      <c r="AK12" s="100"/>
      <c r="AL12" s="100"/>
      <c r="AM12" s="101" t="s">
        <v>199</v>
      </c>
      <c r="AN12" s="101"/>
      <c r="AO12" s="101"/>
      <c r="AP12" s="102" t="s">
        <v>199</v>
      </c>
      <c r="AQ12" s="102"/>
      <c r="AR12" s="102"/>
      <c r="AS12" s="103" t="s">
        <v>200</v>
      </c>
      <c r="AT12" s="103"/>
      <c r="AU12" s="103"/>
      <c r="AV12" s="104" t="s">
        <v>199</v>
      </c>
      <c r="AW12" s="104"/>
      <c r="AX12" s="104"/>
      <c r="AY12" s="105" t="s">
        <v>199</v>
      </c>
      <c r="AZ12" s="105"/>
      <c r="BA12" s="105"/>
      <c r="BB12" s="106" t="s">
        <v>199</v>
      </c>
      <c r="BC12" s="106"/>
      <c r="BD12" s="106"/>
      <c r="BE12" s="107"/>
      <c r="BF12" s="107"/>
    </row>
    <row r="13" customFormat="false" ht="19.5" hidden="false" customHeight="true" outlineLevel="0" collapsed="false">
      <c r="A13" s="108" t="s">
        <v>49</v>
      </c>
      <c r="B13" s="108"/>
      <c r="C13" s="89"/>
      <c r="D13" s="89"/>
      <c r="E13" s="89"/>
      <c r="F13" s="90" t="s">
        <v>200</v>
      </c>
      <c r="G13" s="90"/>
      <c r="H13" s="90"/>
      <c r="I13" s="91"/>
      <c r="J13" s="91"/>
      <c r="K13" s="91"/>
      <c r="L13" s="92" t="s">
        <v>200</v>
      </c>
      <c r="M13" s="92"/>
      <c r="N13" s="92"/>
      <c r="O13" s="93" t="s">
        <v>200</v>
      </c>
      <c r="P13" s="93"/>
      <c r="Q13" s="93"/>
      <c r="R13" s="94" t="s">
        <v>189</v>
      </c>
      <c r="S13" s="94"/>
      <c r="T13" s="94"/>
      <c r="U13" s="95" t="s">
        <v>200</v>
      </c>
      <c r="V13" s="95"/>
      <c r="W13" s="95"/>
      <c r="X13" s="96" t="s">
        <v>200</v>
      </c>
      <c r="Y13" s="96"/>
      <c r="Z13" s="96"/>
      <c r="AA13" s="97" t="s">
        <v>200</v>
      </c>
      <c r="AB13" s="97"/>
      <c r="AC13" s="97"/>
      <c r="AD13" s="98" t="s">
        <v>203</v>
      </c>
      <c r="AE13" s="98"/>
      <c r="AF13" s="98"/>
      <c r="AG13" s="99" t="s">
        <v>202</v>
      </c>
      <c r="AH13" s="99"/>
      <c r="AI13" s="99"/>
      <c r="AJ13" s="100"/>
      <c r="AK13" s="100"/>
      <c r="AL13" s="100"/>
      <c r="AM13" s="101" t="s">
        <v>200</v>
      </c>
      <c r="AN13" s="101"/>
      <c r="AO13" s="101"/>
      <c r="AP13" s="102" t="s">
        <v>200</v>
      </c>
      <c r="AQ13" s="102"/>
      <c r="AR13" s="102"/>
      <c r="AS13" s="103" t="s">
        <v>199</v>
      </c>
      <c r="AT13" s="103"/>
      <c r="AU13" s="103"/>
      <c r="AV13" s="104" t="s">
        <v>204</v>
      </c>
      <c r="AW13" s="104"/>
      <c r="AX13" s="104"/>
      <c r="AY13" s="105" t="s">
        <v>200</v>
      </c>
      <c r="AZ13" s="105"/>
      <c r="BA13" s="105"/>
      <c r="BB13" s="106" t="s">
        <v>200</v>
      </c>
      <c r="BC13" s="106"/>
      <c r="BD13" s="106"/>
      <c r="BE13" s="107"/>
      <c r="BF13" s="107"/>
    </row>
    <row r="14" customFormat="false" ht="19.5" hidden="false" customHeight="true" outlineLevel="0" collapsed="false">
      <c r="A14" s="109" t="s">
        <v>53</v>
      </c>
      <c r="B14" s="109"/>
      <c r="C14" s="89"/>
      <c r="D14" s="89"/>
      <c r="E14" s="89"/>
      <c r="F14" s="90" t="s">
        <v>189</v>
      </c>
      <c r="G14" s="90"/>
      <c r="H14" s="90"/>
      <c r="I14" s="91"/>
      <c r="J14" s="91"/>
      <c r="K14" s="91"/>
      <c r="L14" s="92" t="s">
        <v>189</v>
      </c>
      <c r="M14" s="92"/>
      <c r="N14" s="92"/>
      <c r="O14" s="93" t="s">
        <v>201</v>
      </c>
      <c r="P14" s="93"/>
      <c r="Q14" s="93"/>
      <c r="R14" s="94" t="s">
        <v>199</v>
      </c>
      <c r="S14" s="94"/>
      <c r="T14" s="94"/>
      <c r="U14" s="95" t="s">
        <v>189</v>
      </c>
      <c r="V14" s="95"/>
      <c r="W14" s="95"/>
      <c r="X14" s="96" t="s">
        <v>189</v>
      </c>
      <c r="Y14" s="96"/>
      <c r="Z14" s="96"/>
      <c r="AA14" s="97" t="s">
        <v>189</v>
      </c>
      <c r="AB14" s="97"/>
      <c r="AC14" s="97"/>
      <c r="AD14" s="98" t="s">
        <v>205</v>
      </c>
      <c r="AE14" s="98"/>
      <c r="AF14" s="98"/>
      <c r="AG14" s="99" t="s">
        <v>205</v>
      </c>
      <c r="AH14" s="99"/>
      <c r="AI14" s="99"/>
      <c r="AJ14" s="100"/>
      <c r="AK14" s="100"/>
      <c r="AL14" s="100"/>
      <c r="AM14" s="101" t="s">
        <v>189</v>
      </c>
      <c r="AN14" s="101"/>
      <c r="AO14" s="101"/>
      <c r="AP14" s="102" t="s">
        <v>66</v>
      </c>
      <c r="AQ14" s="102"/>
      <c r="AR14" s="102"/>
      <c r="AS14" s="103" t="s">
        <v>189</v>
      </c>
      <c r="AT14" s="103"/>
      <c r="AU14" s="103"/>
      <c r="AV14" s="104" t="s">
        <v>206</v>
      </c>
      <c r="AW14" s="104"/>
      <c r="AX14" s="104"/>
      <c r="AY14" s="105" t="s">
        <v>189</v>
      </c>
      <c r="AZ14" s="105"/>
      <c r="BA14" s="105"/>
      <c r="BB14" s="106" t="s">
        <v>189</v>
      </c>
      <c r="BC14" s="106"/>
      <c r="BD14" s="106"/>
      <c r="BE14" s="107"/>
      <c r="BF14" s="107"/>
    </row>
    <row r="16" customFormat="false" ht="19.5" hidden="false" customHeight="true" outlineLevel="0" collapsed="false">
      <c r="A16" s="110" t="s">
        <v>60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Format="false" ht="18" hidden="false" customHeight="true" outlineLevel="0" collapsed="false">
      <c r="A17" s="111" t="s">
        <v>61</v>
      </c>
      <c r="B17" s="111"/>
      <c r="C17" s="111"/>
      <c r="D17" s="111"/>
      <c r="E17" s="111"/>
      <c r="F17" s="112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G17" s="113"/>
      <c r="H17" s="113"/>
      <c r="I17" s="114" t="n">
        <f aca="false">0+0+0+0+0+0</f>
        <v>0</v>
      </c>
      <c r="J17" s="113"/>
      <c r="K17" s="113"/>
      <c r="L17" s="115" t="n">
        <f aca="false">IF(AND(BE4&lt;&gt;"",BF4&lt;&gt;""),IF(IF(BE4&gt;BF4,"1",IF(BE4&lt;BF4,"2","X"))="X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M17" s="113"/>
      <c r="N17" s="113"/>
      <c r="O17" s="116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P17" s="113"/>
      <c r="Q17" s="113"/>
      <c r="R17" s="117" t="n">
        <f aca="false">IF(AND(BE4&lt;&gt;"",BF4&lt;&gt;""),IF(IF(BE4&gt;BF4,"1",IF(BE4&lt;BF4,"2","X"))="2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S17" s="113"/>
      <c r="T17" s="113"/>
      <c r="U17" s="118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V17" s="113"/>
      <c r="W17" s="113"/>
      <c r="X17" s="119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Y17" s="113"/>
      <c r="Z17" s="113"/>
      <c r="AA17" s="120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B17" s="113"/>
      <c r="AC17" s="113"/>
      <c r="AD17" s="121" t="n">
        <f aca="false">IF(AND(BE4&lt;&gt;"",BF4&lt;&gt;""),IF(IF(BE4&gt;BF4,"1",IF(BE4&lt;BF4,"2","X"))="2",1,0),0)+IF(AND(BE5&lt;&gt;"",BF5&lt;&gt;""),IF(IF(BE5&gt;BF5,"1",IF(BE5&lt;BF5,"2","X"))="1",1,0),0)+IF(AND(BE6&lt;&gt;"",BF6&lt;&gt;""),IF(IF(BE6&gt;BF6,"1",IF(BE6&lt;BF6,"2","X"))="X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E17" s="113"/>
      <c r="AF17" s="113"/>
      <c r="AG17" s="122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H17" s="113"/>
      <c r="AI17" s="113"/>
      <c r="AJ17" s="123" t="n">
        <f aca="false">0+0+0+0+0+0</f>
        <v>0</v>
      </c>
      <c r="AK17" s="113"/>
      <c r="AL17" s="113"/>
      <c r="AM17" s="124" t="n">
        <f aca="false">IF(AND(BE4&lt;&gt;"",BF4&lt;&gt;""),IF(IF(BE4&gt;BF4,"1",IF(BE4&lt;BF4,"2","X"))="X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AN17" s="113"/>
      <c r="AO17" s="113"/>
      <c r="AP17" s="125" t="n">
        <f aca="false">IF(AND(BE4&lt;&gt;"",BF4&lt;&gt;""),IF(IF(BE4&gt;BF4,"1",IF(BE4&lt;BF4,"2","X"))="1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Q17" s="113"/>
      <c r="AR17" s="113"/>
      <c r="AS17" s="126" t="n">
        <f aca="false">IF(AND(BE4&lt;&gt;"",BF4&lt;&gt;""),IF(IF(BE4&gt;BF4,"1",IF(BE4&lt;BF4,"2","X"))="2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T17" s="113"/>
      <c r="AU17" s="113"/>
      <c r="AV17" s="127" t="n">
        <f aca="false">IF(AND(BE4&lt;&gt;"",BF4&lt;&gt;""),IF(IF(BE4&gt;BF4,"1",IF(BE4&lt;BF4,"2","X"))="1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W17" s="113"/>
      <c r="AX17" s="113"/>
      <c r="AY17" s="128" t="n">
        <f aca="false">IF(AND(BE4&lt;&gt;"",BF4&lt;&gt;""),IF(IF(BE4&gt;BF4,"1",IF(BE4&lt;BF4,"2","X"))="X",1,0),0)+IF(AND(BE5&lt;&gt;"",BF5&lt;&gt;""),IF(IF(BE5&gt;BF5,"1",IF(BE5&lt;BF5,"2","X"))="X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1",1,0),0)</f>
        <v>0</v>
      </c>
      <c r="AZ17" s="113"/>
      <c r="BA17" s="113"/>
      <c r="BB17" s="129" t="n">
        <f aca="false">IF(AND(BE4&lt;&gt;"",BF4&lt;&gt;""),IF(IF(BE4&gt;BF4,"1",IF(BE4&lt;BF4,"2","X"))="X",1,0),0)+IF(AND(BE5&lt;&gt;"",BF5&lt;&gt;""),IF(IF(BE5&gt;BF5,"1",IF(BE5&lt;BF5,"2","X"))="1",1,0),0)+IF(AND(BE6&lt;&gt;"",BF6&lt;&gt;""),IF(IF(BE6&gt;BF6,"1",IF(BE6&lt;BF6,"2","X"))="1",1,0),0)+IF(AND(BE7&lt;&gt;"",BF7&lt;&gt;""),IF(IF(BE7&gt;BF7,"1",IF(BE7&lt;BF7,"2","X"))="2",1,0),0)+IF(AND(BE8&lt;&gt;"",BF8&lt;&gt;""),IF(IF(BE8&gt;BF8,"1",IF(BE8&lt;BF8,"2","X"))="2",1,0),0)+IF(AND(BE9&lt;&gt;"",BF9&lt;&gt;""),IF(IF(BE9&gt;BF9,"1",IF(BE9&lt;BF9,"2","X"))="X",1,0),0)</f>
        <v>0</v>
      </c>
      <c r="BC17" s="113"/>
      <c r="BD17" s="113"/>
      <c r="BE17" s="130"/>
      <c r="BF17" s="130"/>
    </row>
    <row r="18" customFormat="false" ht="18" hidden="false" customHeight="true" outlineLevel="0" collapsed="false">
      <c r="A18" s="131" t="s">
        <v>62</v>
      </c>
      <c r="B18" s="131"/>
      <c r="C18" s="131"/>
      <c r="D18" s="131"/>
      <c r="E18" s="131"/>
      <c r="F18" s="132" t="n">
        <f aca="false">IF(AND(BE4&lt;&gt;"",BF4&lt;&gt;""),IF(AND(BE4=1,BF4=0),3,0),0)+IF(AND(BE5&lt;&gt;"",BF5&lt;&gt;""),IF(AND(BE5=2,BF5=0),3,0),0)+IF(AND(BE6&lt;&gt;"",BF6&lt;&gt;""),IF(AND(BE6=5,BF6=1),3,0),0)+IF(AND(BE7&lt;&gt;"",BF7&lt;&gt;""),IF(AND(BE7=1,BF7=2),3,0),0)+IF(AND(BE8&lt;&gt;"",BF8&lt;&gt;""),IF(AND(BE8=0,BF8=6),3,0),0)+IF(AND(BE9&lt;&gt;"",BF9&lt;&gt;""),IF(AND(BE9=3,BF9=0),3,0),0)</f>
        <v>0</v>
      </c>
      <c r="G18" s="133"/>
      <c r="H18" s="133"/>
      <c r="I18" s="134" t="n">
        <f aca="false">0+0+0+0+0+0</f>
        <v>0</v>
      </c>
      <c r="J18" s="133"/>
      <c r="K18" s="133"/>
      <c r="L18" s="135" t="n">
        <f aca="false">IF(AND(BE4&lt;&gt;"",BF4&lt;&gt;""),IF(AND(BE4=3,BF4=1),3,0),0)+IF(AND(BE5&lt;&gt;"",BF5&lt;&gt;""),IF(AND(BE5=2,BF5=1),3,0),0)+IF(AND(BE6&lt;&gt;"",BF6&lt;&gt;""),IF(AND(BE6=1,BF6=0),3,0),0)+IF(AND(BE7&lt;&gt;"",BF7&lt;&gt;""),IF(AND(BE7=1,BF7=2),3,0),0)+IF(AND(BE8&lt;&gt;"",BF8&lt;&gt;""),IF(AND(BE8=1,BF8=3),3,0),0)+IF(AND(BE9&lt;&gt;"",BF9&lt;&gt;""),IF(AND(BE9=2,BF9=1),3,0),0)</f>
        <v>0</v>
      </c>
      <c r="M18" s="133"/>
      <c r="N18" s="133"/>
      <c r="O18" s="136" t="n">
        <f aca="false">IF(AND(BE4&lt;&gt;"",BF4&lt;&gt;""),IF(AND(BE4=2,BF4=1),3,0),0)+IF(AND(BE5&lt;&gt;"",BF5&lt;&gt;""),IF(AND(BE5=1,BF5=1),3,0),0)+IF(AND(BE6&lt;&gt;"",BF6&lt;&gt;""),IF(AND(BE6=2,BF6=0),3,0),0)+IF(AND(BE7&lt;&gt;"",BF7&lt;&gt;""),IF(AND(BE7=0,BF7=2),3,0),0)+IF(AND(BE8&lt;&gt;"",BF8&lt;&gt;""),IF(AND(BE8=0,BF8=2),3,0),0)+IF(AND(BE9&lt;&gt;"",BF9&lt;&gt;""),IF(AND(BE9=1,BF9=1),3,0),0)</f>
        <v>0</v>
      </c>
      <c r="P18" s="133"/>
      <c r="Q18" s="133"/>
      <c r="R18" s="137" t="n">
        <f aca="false">IF(AND(BE4&lt;&gt;"",BF4&lt;&gt;""),IF(AND(BE4=2,BF4=3),3,0),0)+IF(AND(BE5&lt;&gt;"",BF5&lt;&gt;""),IF(AND(BE5=2,BF5=1),3,0),0)+IF(AND(BE6&lt;&gt;"",BF6&lt;&gt;""),IF(AND(BE6=1,BF6=2),3,0),0)+IF(AND(BE7&lt;&gt;"",BF7&lt;&gt;""),IF(AND(BE7=1,BF7=3),3,0),0)+IF(AND(BE8&lt;&gt;"",BF8&lt;&gt;""),IF(AND(BE8=1,BF8=2),3,0),0)+IF(AND(BE9&lt;&gt;"",BF9&lt;&gt;""),IF(AND(BE9=3,BF9=2),3,0),0)</f>
        <v>0</v>
      </c>
      <c r="S18" s="133"/>
      <c r="T18" s="133"/>
      <c r="U18" s="138" t="n">
        <f aca="false">IF(AND(BE4&lt;&gt;"",BF4&lt;&gt;""),IF(AND(BE4=2,BF4=1),3,0),0)+IF(AND(BE5&lt;&gt;"",BF5&lt;&gt;""),IF(AND(BE5=2,BF5=0),3,0),0)+IF(AND(BE6&lt;&gt;"",BF6&lt;&gt;""),IF(AND(BE6=3,BF6=0),3,0),0)+IF(AND(BE7&lt;&gt;"",BF7&lt;&gt;""),IF(AND(BE7=0,BF7=4),3,0),0)+IF(AND(BE8&lt;&gt;"",BF8&lt;&gt;""),IF(AND(BE8=0,BF8=4),3,0),0)+IF(AND(BE9&lt;&gt;"",BF9&lt;&gt;""),IF(AND(BE9=2,BF9=1),3,0),0)</f>
        <v>0</v>
      </c>
      <c r="V18" s="133"/>
      <c r="W18" s="133"/>
      <c r="X18" s="139" t="n">
        <f aca="false">IF(AND(BE4&lt;&gt;"",BF4&lt;&gt;""),IF(AND(BE4=2,BF4=1),3,0),0)+IF(AND(BE5&lt;&gt;"",BF5&lt;&gt;""),IF(AND(BE5=2,BF5=0),3,0),0)+IF(AND(BE6&lt;&gt;"",BF6&lt;&gt;""),IF(AND(BE6=2,BF6=0),3,0),0)+IF(AND(BE7&lt;&gt;"",BF7&lt;&gt;""),IF(AND(BE7=0,BF7=3),3,0),0)+IF(AND(BE8&lt;&gt;"",BF8&lt;&gt;""),IF(AND(BE8=0,BF8=5),3,0),0)+IF(AND(BE9&lt;&gt;"",BF9&lt;&gt;""),IF(AND(BE9=1,BF9=1),3,0),0)</f>
        <v>0</v>
      </c>
      <c r="Y18" s="133"/>
      <c r="Z18" s="133"/>
      <c r="AA18" s="140" t="n">
        <f aca="false">IF(AND(BE4&lt;&gt;"",BF4&lt;&gt;""),IF(AND(BE4=2,BF4=0),3,0),0)+IF(AND(BE5&lt;&gt;"",BF5&lt;&gt;""),IF(AND(BE5=2,BF5=1),3,0),0)+IF(AND(BE6&lt;&gt;"",BF6&lt;&gt;""),IF(AND(BE6=2,BF6=0),3,0),0)+IF(AND(BE7&lt;&gt;"",BF7&lt;&gt;""),IF(AND(BE7=0,BF7=2),3,0),0)+IF(AND(BE8&lt;&gt;"",BF8&lt;&gt;""),IF(AND(BE8=0,BF8=2),3,0),0)+IF(AND(BE9&lt;&gt;"",BF9&lt;&gt;""),IF(AND(BE9=1,BF9=1),3,0),0)</f>
        <v>0</v>
      </c>
      <c r="AB18" s="133"/>
      <c r="AC18" s="133"/>
      <c r="AD18" s="141" t="n">
        <f aca="false">IF(AND(BE4&lt;&gt;"",BF4&lt;&gt;""),IF(AND(BE4=1,BF4=1),3,0),0)+IF(AND(BE5&lt;&gt;"",BF5&lt;&gt;""),IF(AND(BE5=2,BF5=1),3,0),0)+IF(AND(BE6&lt;&gt;"",BF6&lt;&gt;""),IF(AND(BE6=1,BF6=0),3,0),0)+IF(AND(BE7&lt;&gt;"",BF7&lt;&gt;""),IF(AND(BE7=0,BF7=2),3,0),0)+IF(AND(BE8&lt;&gt;"",BF8&lt;&gt;""),IF(AND(BE8=1,BF8=3),3,0),0)+IF(AND(BE9&lt;&gt;"",BF9&lt;&gt;""),IF(AND(BE9=1,BF9=2),3,0),0)</f>
        <v>0</v>
      </c>
      <c r="AE18" s="133"/>
      <c r="AF18" s="133"/>
      <c r="AG18" s="142" t="n">
        <f aca="false">IF(AND(BE4&lt;&gt;"",BF4&lt;&gt;""),IF(AND(BE4=2,BF4=1),3,0),0)+IF(AND(BE5&lt;&gt;"",BF5&lt;&gt;""),IF(AND(BE5=2,BF5=1),3,0),0)+IF(AND(BE6&lt;&gt;"",BF6&lt;&gt;""),IF(AND(BE6=2,BF6=1),3,0),0)+IF(AND(BE7&lt;&gt;"",BF7&lt;&gt;""),IF(AND(BE7=0,BF7=2),3,0),0)+IF(AND(BE8&lt;&gt;"",BF8&lt;&gt;""),IF(AND(BE8=1,BF8=3),3,0),0)+IF(AND(BE9&lt;&gt;"",BF9&lt;&gt;""),IF(AND(BE9=2,BF9=1),3,0),0)</f>
        <v>0</v>
      </c>
      <c r="AH18" s="133"/>
      <c r="AI18" s="133"/>
      <c r="AJ18" s="143" t="n">
        <f aca="false">0+0+0+0+0+0</f>
        <v>0</v>
      </c>
      <c r="AK18" s="133"/>
      <c r="AL18" s="133"/>
      <c r="AM18" s="144" t="n">
        <f aca="false">IF(AND(BE4&lt;&gt;"",BF4&lt;&gt;""),IF(AND(BE4=1,BF4=1),3,0),0)+IF(AND(BE5&lt;&gt;"",BF5&lt;&gt;""),IF(AND(BE5=2,BF5=0),3,0),0)+IF(AND(BE6&lt;&gt;"",BF6&lt;&gt;""),IF(AND(BE6=3,BF6=1),3,0),0)+IF(AND(BE7&lt;&gt;"",BF7&lt;&gt;""),IF(AND(BE7=1,BF7=2),3,0),0)+IF(AND(BE8&lt;&gt;"",BF8&lt;&gt;""),IF(AND(BE8=0,BF8=2),3,0),0)+IF(AND(BE9&lt;&gt;"",BF9&lt;&gt;""),IF(AND(BE9=1,BF9=1),3,0),0)</f>
        <v>0</v>
      </c>
      <c r="AN18" s="133"/>
      <c r="AO18" s="133"/>
      <c r="AP18" s="145" t="n">
        <f aca="false">IF(AND(BE4&lt;&gt;"",BF4&lt;&gt;""),IF(AND(BE4=2,BF4=1),3,0),0)+IF(AND(BE5&lt;&gt;"",BF5&lt;&gt;""),IF(AND(BE5=2,BF5=0),3,0),0)+IF(AND(BE6&lt;&gt;"",BF6&lt;&gt;""),IF(AND(BE6=1,BF6=1),3,0),0)+IF(AND(BE7&lt;&gt;"",BF7&lt;&gt;""),IF(AND(BE7=0,BF7=2),3,0),0)+IF(AND(BE8&lt;&gt;"",BF8&lt;&gt;""),IF(AND(BE8=0,BF8=4),3,0),0)+IF(AND(BE9&lt;&gt;"",BF9&lt;&gt;""),IF(AND(BE9=2,BF9=1),3,0),0)</f>
        <v>0</v>
      </c>
      <c r="AQ18" s="133"/>
      <c r="AR18" s="133"/>
      <c r="AS18" s="146" t="n">
        <f aca="false">IF(AND(BE4&lt;&gt;"",BF4&lt;&gt;""),IF(AND(BE4=1,BF4=2),3,0),0)+IF(AND(BE5&lt;&gt;"",BF5&lt;&gt;""),IF(AND(BE5=1,BF5=0),3,0),0)+IF(AND(BE6&lt;&gt;"",BF6&lt;&gt;""),IF(AND(BE6=2,BF6=1),3,0),0)+IF(AND(BE7&lt;&gt;"",BF7&lt;&gt;""),IF(AND(BE7=0,BF7=2),3,0),0)+IF(AND(BE8&lt;&gt;"",BF8&lt;&gt;""),IF(AND(BE8=1,BF8=2),3,0),0)+IF(AND(BE9&lt;&gt;"",BF9&lt;&gt;""),IF(AND(BE9=2,BF9=1),3,0),0)</f>
        <v>0</v>
      </c>
      <c r="AT18" s="133"/>
      <c r="AU18" s="133"/>
      <c r="AV18" s="147" t="n">
        <f aca="false">IF(AND(BE4&lt;&gt;"",BF4&lt;&gt;""),IF(AND(BE4=2,BF4=1),3,0),0)+IF(AND(BE5&lt;&gt;"",BF5&lt;&gt;""),IF(AND(BE5=1,BF5=1),3,0),0)+IF(AND(BE6&lt;&gt;"",BF6&lt;&gt;""),IF(AND(BE6=2,BF6=1),3,0),0)+IF(AND(BE7&lt;&gt;"",BF7&lt;&gt;""),IF(AND(BE7=0,BF7=1),3,0),0)+IF(AND(BE8&lt;&gt;"",BF8&lt;&gt;""),IF(AND(BE8=1,BF8=2),3,0),0)+IF(AND(BE9&lt;&gt;"",BF9&lt;&gt;""),IF(AND(BE9=1,BF9=0),3,0),0)</f>
        <v>0</v>
      </c>
      <c r="AW18" s="133"/>
      <c r="AX18" s="133"/>
      <c r="AY18" s="148" t="n">
        <f aca="false">IF(AND(BE4&lt;&gt;"",BF4&lt;&gt;""),IF(AND(BE4=1,BF4=1),3,0),0)+IF(AND(BE5&lt;&gt;"",BF5&lt;&gt;""),IF(AND(BE5=2,BF5=1),3,0),0)+IF(AND(BE6&lt;&gt;"",BF6&lt;&gt;""),IF(AND(BE6=2,BF6=0),3,0),0)+IF(AND(BE7&lt;&gt;"",BF7&lt;&gt;""),IF(AND(BE7=1,BF7=1),3,0),0)+IF(AND(BE8&lt;&gt;"",BF8&lt;&gt;""),IF(AND(BE8=0,BF8=1),3,0),0)+IF(AND(BE9&lt;&gt;"",BF9&lt;&gt;""),IF(AND(BE9=2,BF9=2),3,0),0)</f>
        <v>0</v>
      </c>
      <c r="AZ18" s="133"/>
      <c r="BA18" s="133"/>
      <c r="BB18" s="149" t="n">
        <f aca="false">IF(AND(BE4&lt;&gt;"",BF4&lt;&gt;""),IF(AND(BE4=2,BF4=2),3,0),0)+IF(AND(BE5&lt;&gt;"",BF5&lt;&gt;""),IF(AND(BE5=1,BF5=0),3,0),0)+IF(AND(BE6&lt;&gt;"",BF6&lt;&gt;""),IF(AND(BE6=2,BF6=1),3,0),0)+IF(AND(BE7&lt;&gt;"",BF7&lt;&gt;""),IF(AND(BE7=1,BF7=3),3,0),0)+IF(AND(BE8&lt;&gt;"",BF8&lt;&gt;""),IF(AND(BE8=0,BF8=2),3,0),0)+IF(AND(BE9&lt;&gt;"",BF9&lt;&gt;""),IF(AND(BE9=1,BF9=1),3,0),0)</f>
        <v>0</v>
      </c>
      <c r="BC18" s="133"/>
      <c r="BD18" s="133"/>
      <c r="BE18" s="130"/>
      <c r="BF18" s="130"/>
    </row>
    <row r="19" customFormat="false" ht="18" hidden="false" customHeight="true" outlineLevel="0" collapsed="false">
      <c r="A19" s="150" t="s">
        <v>63</v>
      </c>
      <c r="B19" s="150"/>
      <c r="C19" s="150"/>
      <c r="D19" s="150"/>
      <c r="E19" s="150"/>
      <c r="F19" s="151" t="n">
        <f aca="false">IF(C12&lt;&gt;"",IF(C12="Inglaterra",4,0),0)+IF(C13&lt;&gt;"",IF(C13="Croacia",2,0),0)+IF(C14&lt;&gt;"",IF(C14="Ghana",1,0),0)</f>
        <v>0</v>
      </c>
      <c r="G19" s="152"/>
      <c r="H19" s="152"/>
      <c r="I19" s="153" t="n">
        <f aca="false">0+0+0</f>
        <v>0</v>
      </c>
      <c r="J19" s="152"/>
      <c r="K19" s="152"/>
      <c r="L19" s="154" t="n">
        <f aca="false">IF(C12&lt;&gt;"",IF(C12="Inglaterra",4,0),0)+IF(C13&lt;&gt;"",IF(C13="Croacia",2,0),0)+IF(C14&lt;&gt;"",IF(C14="Ghana",1,0),0)</f>
        <v>0</v>
      </c>
      <c r="M19" s="152"/>
      <c r="N19" s="152"/>
      <c r="O19" s="155" t="n">
        <f aca="false">IF(C12&lt;&gt;"",IF(C12="Inglaterra",4,0),0)+IF(C13&lt;&gt;"",IF(C13="Croacia",2,0),0)+IF(C14&lt;&gt;"",IF(C14="Panamá",1,0),0)</f>
        <v>0</v>
      </c>
      <c r="P19" s="152"/>
      <c r="Q19" s="152"/>
      <c r="R19" s="156" t="n">
        <f aca="false">IF(C12&lt;&gt;"",IF(C12="Croacia",4,0),0)+IF(C13&lt;&gt;"",IF(C13="Ghana",2,0),0)+IF(C14&lt;&gt;"",IF(C14="Inglaterra",1,0),0)</f>
        <v>0</v>
      </c>
      <c r="S19" s="152"/>
      <c r="T19" s="152"/>
      <c r="U19" s="157" t="n">
        <f aca="false">IF(C12&lt;&gt;"",IF(C12="Inglaterra",4,0),0)+IF(C13&lt;&gt;"",IF(C13="Croacia",2,0),0)+IF(C14&lt;&gt;"",IF(C14="Ghana",1,0),0)</f>
        <v>0</v>
      </c>
      <c r="V19" s="152"/>
      <c r="W19" s="152"/>
      <c r="X19" s="158" t="n">
        <f aca="false">IF(C12&lt;&gt;"",IF(C12="Inglaterra",4,0),0)+IF(C13&lt;&gt;"",IF(C13="Croacia",2,0),0)+IF(C14&lt;&gt;"",IF(C14="Ghana",1,0),0)</f>
        <v>0</v>
      </c>
      <c r="Y19" s="152"/>
      <c r="Z19" s="152"/>
      <c r="AA19" s="159" t="n">
        <f aca="false">IF(C12&lt;&gt;"",IF(C12="Inglaterra",4,0),0)+IF(C13&lt;&gt;"",IF(C13="Croacia",2,0),0)+IF(C14&lt;&gt;"",IF(C14="Ghana",1,0),0)</f>
        <v>0</v>
      </c>
      <c r="AB19" s="152"/>
      <c r="AC19" s="152"/>
      <c r="AD19" s="160" t="n">
        <f aca="false">IF(C12&lt;&gt;"",IF(C12="CROACIA",4,0),0)+IF(C13&lt;&gt;"",IF(C13="INGLATERRA",2,0),0)+IF(C14&lt;&gt;"",IF(C14="GHANA",1,0),0)</f>
        <v>0</v>
      </c>
      <c r="AE19" s="152"/>
      <c r="AF19" s="152"/>
      <c r="AG19" s="161" t="n">
        <f aca="false">IF(C12&lt;&gt;"",IF(C12="INGLATERRA",4,0),0)+IF(C13&lt;&gt;"",IF(C13="CROACIA",2,0),0)+IF(C14&lt;&gt;"",IF(C14="GHANA",1,0),0)</f>
        <v>0</v>
      </c>
      <c r="AH19" s="152"/>
      <c r="AI19" s="152"/>
      <c r="AJ19" s="162" t="n">
        <f aca="false">0+0+0</f>
        <v>0</v>
      </c>
      <c r="AK19" s="152"/>
      <c r="AL19" s="152"/>
      <c r="AM19" s="163" t="n">
        <f aca="false">IF(C12&lt;&gt;"",IF(C12="Inglaterra",4,0),0)+IF(C13&lt;&gt;"",IF(C13="Croacia",2,0),0)+IF(C14&lt;&gt;"",IF(C14="Ghana",1,0),0)</f>
        <v>0</v>
      </c>
      <c r="AN19" s="152"/>
      <c r="AO19" s="152"/>
      <c r="AP19" s="164" t="n">
        <f aca="false">IF(C12&lt;&gt;"",IF(C12="Inglaterra",4,0),0)+IF(C13&lt;&gt;"",IF(C13="Croacia",2,0),0)+IF(C14&lt;&gt;"",IF(C14="Canadá",1,0),0)</f>
        <v>0</v>
      </c>
      <c r="AQ19" s="152"/>
      <c r="AR19" s="152"/>
      <c r="AS19" s="165" t="n">
        <f aca="false">IF(C12&lt;&gt;"",IF(C12="Croacia",4,0),0)+IF(C13&lt;&gt;"",IF(C13="Inglaterra",2,0),0)+IF(C14&lt;&gt;"",IF(C14="Ghana",1,0),0)</f>
        <v>0</v>
      </c>
      <c r="AT19" s="152"/>
      <c r="AU19" s="152"/>
      <c r="AV19" s="166" t="n">
        <f aca="false">IF(C12&lt;&gt;"",IF(C12="Inglaterra",4,0),0)+IF(C13&lt;&gt;"",IF(C13="croacia",2,0),0)+IF(C14&lt;&gt;"",IF(C14="panama",1,0),0)</f>
        <v>0</v>
      </c>
      <c r="AW19" s="152"/>
      <c r="AX19" s="152"/>
      <c r="AY19" s="167" t="n">
        <f aca="false">IF(C12&lt;&gt;"",IF(C12="Inglaterra",4,0),0)+IF(C13&lt;&gt;"",IF(C13="Croacia",2,0),0)+IF(C14&lt;&gt;"",IF(C14="Ghana",1,0),0)</f>
        <v>0</v>
      </c>
      <c r="AZ19" s="152"/>
      <c r="BA19" s="152"/>
      <c r="BB19" s="168" t="n">
        <f aca="false">IF(C12&lt;&gt;"",IF(C12="Inglaterra",4,0),0)+IF(C13&lt;&gt;"",IF(C13="Croacia",2,0),0)+IF(C14&lt;&gt;"",IF(C14="Ghana",1,0),0)</f>
        <v>0</v>
      </c>
      <c r="BC19" s="152"/>
      <c r="BD19" s="152"/>
      <c r="BE19" s="130"/>
      <c r="BF19" s="130"/>
    </row>
    <row r="20" customFormat="false" ht="18" hidden="false" customHeight="true" outlineLevel="0" collapsed="false">
      <c r="A20" s="169" t="s">
        <v>64</v>
      </c>
      <c r="B20" s="169"/>
      <c r="C20" s="169"/>
      <c r="D20" s="169"/>
      <c r="E20" s="169"/>
      <c r="F20" s="170" t="n">
        <f aca="false">F17+F18+F19</f>
        <v>0</v>
      </c>
      <c r="G20" s="171"/>
      <c r="H20" s="171"/>
      <c r="I20" s="172" t="n">
        <f aca="false">I17+I18+I19</f>
        <v>0</v>
      </c>
      <c r="J20" s="173"/>
      <c r="K20" s="173"/>
      <c r="L20" s="174" t="n">
        <f aca="false">L17+L18+L19</f>
        <v>0</v>
      </c>
      <c r="M20" s="175"/>
      <c r="N20" s="175"/>
      <c r="O20" s="176" t="n">
        <f aca="false">O17+O18+O19</f>
        <v>0</v>
      </c>
      <c r="P20" s="177"/>
      <c r="Q20" s="177"/>
      <c r="R20" s="178" t="n">
        <f aca="false">R17+R18+R19</f>
        <v>0</v>
      </c>
      <c r="S20" s="179"/>
      <c r="T20" s="179"/>
      <c r="U20" s="180" t="n">
        <f aca="false">U17+U18+U19</f>
        <v>0</v>
      </c>
      <c r="V20" s="181"/>
      <c r="W20" s="181"/>
      <c r="X20" s="182" t="n">
        <f aca="false">X17+X18+X19</f>
        <v>0</v>
      </c>
      <c r="Y20" s="183"/>
      <c r="Z20" s="183"/>
      <c r="AA20" s="184" t="n">
        <f aca="false">AA17+AA18+AA19</f>
        <v>0</v>
      </c>
      <c r="AB20" s="185"/>
      <c r="AC20" s="185"/>
      <c r="AD20" s="186" t="n">
        <f aca="false">AD17+AD18+AD19</f>
        <v>0</v>
      </c>
      <c r="AE20" s="187"/>
      <c r="AF20" s="187"/>
      <c r="AG20" s="188" t="n">
        <f aca="false">AG17+AG18+AG19</f>
        <v>0</v>
      </c>
      <c r="AH20" s="189"/>
      <c r="AI20" s="189"/>
      <c r="AJ20" s="190" t="n">
        <f aca="false">AJ17+AJ18+AJ19</f>
        <v>0</v>
      </c>
      <c r="AK20" s="191"/>
      <c r="AL20" s="191"/>
      <c r="AM20" s="192" t="n">
        <f aca="false">AM17+AM18+AM19</f>
        <v>0</v>
      </c>
      <c r="AN20" s="193"/>
      <c r="AO20" s="193"/>
      <c r="AP20" s="194" t="n">
        <f aca="false">AP17+AP18+AP19</f>
        <v>0</v>
      </c>
      <c r="AQ20" s="195"/>
      <c r="AR20" s="195"/>
      <c r="AS20" s="196" t="n">
        <f aca="false">AS17+AS18+AS19</f>
        <v>0</v>
      </c>
      <c r="AT20" s="197"/>
      <c r="AU20" s="197"/>
      <c r="AV20" s="198" t="n">
        <f aca="false">AV17+AV18+AV19</f>
        <v>0</v>
      </c>
      <c r="AW20" s="199"/>
      <c r="AX20" s="199"/>
      <c r="AY20" s="200" t="n">
        <f aca="false">AY17+AY18+AY19</f>
        <v>0</v>
      </c>
      <c r="AZ20" s="201"/>
      <c r="BA20" s="201"/>
      <c r="BB20" s="202" t="n">
        <f aca="false">BB17+BB18+BB19</f>
        <v>0</v>
      </c>
      <c r="BC20" s="203"/>
      <c r="BD20" s="203"/>
      <c r="BE20" s="130"/>
      <c r="BF20" s="130"/>
    </row>
    <row r="21" customFormat="false" ht="15" hidden="false" customHeight="false" outlineLevel="0" collapsed="false">
      <c r="F21" s="204" t="n">
        <f aca="false">F20</f>
        <v>0</v>
      </c>
      <c r="I21" s="204" t="n">
        <f aca="false">I20</f>
        <v>0</v>
      </c>
      <c r="L21" s="204" t="n">
        <f aca="false">L20</f>
        <v>0</v>
      </c>
      <c r="O21" s="204" t="n">
        <f aca="false">O20</f>
        <v>0</v>
      </c>
      <c r="R21" s="204" t="n">
        <f aca="false">R20</f>
        <v>0</v>
      </c>
      <c r="U21" s="204" t="n">
        <f aca="false">U20</f>
        <v>0</v>
      </c>
      <c r="X21" s="204" t="n">
        <f aca="false">X20</f>
        <v>0</v>
      </c>
      <c r="AA21" s="204" t="n">
        <f aca="false">AA20</f>
        <v>0</v>
      </c>
      <c r="AD21" s="204" t="n">
        <f aca="false">AD20</f>
        <v>0</v>
      </c>
      <c r="AG21" s="204" t="n">
        <f aca="false">AG20</f>
        <v>0</v>
      </c>
      <c r="AJ21" s="204" t="n">
        <f aca="false">AJ20</f>
        <v>0</v>
      </c>
      <c r="AM21" s="204" t="n">
        <f aca="false">AM20</f>
        <v>0</v>
      </c>
      <c r="AP21" s="204" t="n">
        <f aca="false">AP20</f>
        <v>0</v>
      </c>
      <c r="AS21" s="204" t="n">
        <f aca="false">AS20</f>
        <v>0</v>
      </c>
      <c r="AV21" s="204" t="n">
        <f aca="false">AV20</f>
        <v>0</v>
      </c>
      <c r="AY21" s="204" t="n">
        <f aca="false">AY20</f>
        <v>0</v>
      </c>
      <c r="BB21" s="204" t="n">
        <f aca="false">BB20</f>
        <v>0</v>
      </c>
    </row>
  </sheetData>
  <mergeCells count="87">
    <mergeCell ref="A1:BH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F2"/>
    <mergeCell ref="A11:BF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13:B13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A14:B14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A16:BF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2026-06-12T11:13:25Z</dcterms:created>
  <dc:creator>openpyxl</dc:creator>
  <dc:description/>
  <dc:language>en-US</dc:language>
  <cp:lastModifiedBy/>
  <dcterms:modified xsi:type="dcterms:W3CDTF">2026-06-12T11:13:27Z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