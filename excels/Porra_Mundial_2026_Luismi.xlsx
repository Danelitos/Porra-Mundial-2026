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CIONES" sheetId="1" r:id="rId4"/>
    <sheet state="visible" name="📅 CALENDARIO" sheetId="2" r:id="rId5"/>
    <sheet state="visible" name="Grupo A" sheetId="3" r:id="rId6"/>
    <sheet state="visible" name="Grupo B" sheetId="4" r:id="rId7"/>
    <sheet state="visible" name="Grupo C" sheetId="5" r:id="rId8"/>
    <sheet state="visible" name="Grupo D" sheetId="6" r:id="rId9"/>
    <sheet state="visible" name="Grupo E" sheetId="7" r:id="rId10"/>
    <sheet state="visible" name="Grupo F" sheetId="8" r:id="rId11"/>
    <sheet state="visible" name="Grupo G" sheetId="9" r:id="rId12"/>
    <sheet state="visible" name="Grupo H 🇪🇸" sheetId="10" r:id="rId13"/>
    <sheet state="visible" name="Grupo I" sheetId="11" r:id="rId14"/>
    <sheet state="visible" name="Grupo J" sheetId="12" r:id="rId15"/>
    <sheet state="visible" name="Grupo K" sheetId="13" r:id="rId16"/>
    <sheet state="visible" name="Grupo L" sheetId="14" r:id="rId17"/>
    <sheet state="visible" name="🔮 ELIMINATORIAS" sheetId="15" r:id="rId18"/>
    <sheet state="visible" name="🏅 CLASIFICACIÓN" sheetId="16" r:id="rId19"/>
  </sheets>
  <definedNames/>
  <calcPr/>
  <extLst>
    <ext uri="GoogleSheetsCustomDataVersion2">
      <go:sheetsCustomData xmlns:go="http://customooxmlschemas.google.com/" r:id="rId20" roundtripDataChecksum="ZfG90C00i9UJLR0CMQmW3T8S2TFzpLxzMTKU171EL7U="/>
    </ext>
  </extLst>
</workbook>
</file>

<file path=xl/sharedStrings.xml><?xml version="1.0" encoding="utf-8"?>
<sst xmlns="http://schemas.openxmlformats.org/spreadsheetml/2006/main" count="1436" uniqueCount="334">
  <si>
    <t>⚽  PORRA MUNDIAL 2026  ⚽</t>
  </si>
  <si>
    <t>USA · MÉXICO · CANADÁ  |  11 junio – 19 julio 2026</t>
  </si>
  <si>
    <t>📌  CÓMO RELLENAR TU PORRA  —  LÉELO UNA VEZ Y LISTO</t>
  </si>
  <si>
    <t>PASO 1</t>
  </si>
  <si>
    <t>Escribe tu nombre en la pestaña 🏅 CLASIFICACIÓN (columna verde).</t>
  </si>
  <si>
    <t>➜ Solo hay que hacerlo una vez.</t>
  </si>
  <si>
    <t>PASO 2</t>
  </si>
  <si>
    <t>Ve a la pestaña del grupo que quieras (Grupo A, Grupo B…)</t>
  </si>
  <si>
    <t>➜ Hay 12 grupos, uno por pestaña.</t>
  </si>
  <si>
    <t>PASO 3</t>
  </si>
  <si>
    <t>En cada partido hay TRES celdas verdes que TÚ rellenas:
  • PRED. LOCAL (nº de goles que crees que mete el equipo de la izquierda)
  • PRED. VISITANTE (nº de goles del equipo de la derecha)
  • SIGNO (escribe: 1 si gana el local, X si empatan, 2 si gana el visitante)</t>
  </si>
  <si>
    <t>EJEMPLO: crees que España gana 2-0 a Cabo Verde
  → Pred. Local = 2  |  Pred. Visitante = 0  |  Signo = 1 PERO PUEDES PONER QUE HAY EMPATE (X) Y A LA VEZ UN 3-1
EJEMPLO cubierto: crees que queda 3-1, pero por si acaso te cubres con empate
  → Pred. Local = 3  |  Pred. Visitante = 1  |  Signo = X
  → Si queda 3-1 ganas 3 pts (exacto). Si empatan, ganas 1 pt (signo).</t>
  </si>
  <si>
    <t>PASO 4</t>
  </si>
  <si>
    <t>Predice quién queda 1º, 2º y 3º clasificado en cada grupo (al final de la pestaña).</t>
  </si>
  <si>
    <t>➜ Escribe el nombre del equipo en las celdas verdes.</t>
  </si>
  <si>
    <t>PASO 5</t>
  </si>
  <si>
    <t>Ve a 🔮 ELIMINATORIAS y rellena los cruces y tu PICHICHI.</t>
  </si>
  <si>
    <t>➜ Mismo sistema: celdas verdes = tus predicciones.</t>
  </si>
  <si>
    <t>PASO 6</t>
  </si>
  <si>
    <t>¡No toques las celdas grises! Son del árbitro, que meterá los resultados reales.</t>
  </si>
  <si>
    <t>➜ Los puntos se calculan solos cuando el árbitro rellene los resultados.</t>
  </si>
  <si>
    <t>🏆  SISTEMA DE PUNTUACIÓN COMPLETO</t>
  </si>
  <si>
    <t xml:space="preserve">  FASE DE GRUPOS</t>
  </si>
  <si>
    <t>Signo correcto (1, X o 2)</t>
  </si>
  <si>
    <t>1 punto  ×  72 partidos = máx. 72 pts</t>
  </si>
  <si>
    <t>Marcador exacto (ej: 2-1)</t>
  </si>
  <si>
    <t>3 puntos  ×  72 partidos = máx. 216 pts</t>
  </si>
  <si>
    <t>⚠️ NOTA: Si el marcador exacto ya implica el signo correcto, se suman ambos (3+1=4 pts)</t>
  </si>
  <si>
    <t>Acertar el 1º del grupo</t>
  </si>
  <si>
    <t>4 pts × 12 grupos</t>
  </si>
  <si>
    <t>Acertar el 2º del grupo</t>
  </si>
  <si>
    <t>2 pts × 12 grupos</t>
  </si>
  <si>
    <t>Acertar un 3º que pasa a 1/16</t>
  </si>
  <si>
    <t>1 pt × 8 posibles = máx. 8 pts</t>
  </si>
  <si>
    <t>¿Por qué los terceros?</t>
  </si>
  <si>
    <t>En este Mundial pasan los 2 primeros de cada grupo + los 8 MEJORES TERCEROS de los 12 grupos. Adivinar cuál de los 12 terceros se cuela entre los 8 elegidos vale 1 punto.</t>
  </si>
  <si>
    <t xml:space="preserve">  FASE ELIMINATORIA</t>
  </si>
  <si>
    <t>Acertar clasificado en 1/16 de final</t>
  </si>
  <si>
    <t>2 pts por acierto</t>
  </si>
  <si>
    <t>Acertar clasificado en octavos</t>
  </si>
  <si>
    <t>3 pts por acierto</t>
  </si>
  <si>
    <t>Acertar clasificado en cuartos</t>
  </si>
  <si>
    <t>4 pts por acierto</t>
  </si>
  <si>
    <t>Acertar finalista (semifinales)</t>
  </si>
  <si>
    <t>5 pts por acierto</t>
  </si>
  <si>
    <t>Acertar ganador del 3er puesto</t>
  </si>
  <si>
    <t>6 pts</t>
  </si>
  <si>
    <t>Acertar el SUBCAMPEÓN</t>
  </si>
  <si>
    <t>8 pts</t>
  </si>
  <si>
    <t>Acertar el CAMPEÓN DEL MUNDO 🏆</t>
  </si>
  <si>
    <t>15 pts</t>
  </si>
  <si>
    <t xml:space="preserve">  BONUS</t>
  </si>
  <si>
    <t>Acertar el PICHICHI (máximo goleador) ⚽</t>
  </si>
  <si>
    <t>5 pts</t>
  </si>
  <si>
    <t>🎨  GUÍA DE COLORES</t>
  </si>
  <si>
    <t xml:space="preserve">  CELDA VERDE</t>
  </si>
  <si>
    <t>→ TÚ rellenas aquí (marcador o nombre del equipo)</t>
  </si>
  <si>
    <t xml:space="preserve">  CELDA GRIS</t>
  </si>
  <si>
    <t>→ El ÁRBITRO escribe el resultado real. NO TOCAR.</t>
  </si>
  <si>
    <t xml:space="preserve">  FONDO AMARILLO</t>
  </si>
  <si>
    <t>→ Partido de España, norma especial o categoría bonus</t>
  </si>
  <si>
    <t xml:space="preserve">  FONDO AZUL</t>
  </si>
  <si>
    <t>→ Filas alternas, solo para leer mejor</t>
  </si>
  <si>
    <t xml:space="preserve">  HORA EN ROJO</t>
  </si>
  <si>
    <t>→ Partido de MADRUGADA. ¡Ojo al despertador!</t>
  </si>
  <si>
    <t>🏆  COPA MUNDIAL FIFA 2026  —  CALENDARIO COMPLETO  ·  HORARIO PENINSULAR ESPAÑOL</t>
  </si>
  <si>
    <t>⚠️  Todos los horarios en HORA PENINSULAR ESPAÑOLA (CEST, UTC+2)  ·  Horarios de madrugada en ROJO  ·  Partidos de España en AMARILLO</t>
  </si>
  <si>
    <t>FECHA</t>
  </si>
  <si>
    <t>HORA (ESP)</t>
  </si>
  <si>
    <t>LOCAL</t>
  </si>
  <si>
    <t>VS</t>
  </si>
  <si>
    <t>VISITANTE</t>
  </si>
  <si>
    <t>SEDE</t>
  </si>
  <si>
    <t xml:space="preserve">  JORNADA 1  ·  11 al 18 de junio</t>
  </si>
  <si>
    <t>11/06</t>
  </si>
  <si>
    <t>21:00</t>
  </si>
  <si>
    <t>México</t>
  </si>
  <si>
    <t>vs</t>
  </si>
  <si>
    <t>Sudáfrica</t>
  </si>
  <si>
    <t>Est. Azteca, Ciudad de México</t>
  </si>
  <si>
    <t>12/06</t>
  </si>
  <si>
    <t>04:00</t>
  </si>
  <si>
    <t>Corea del Sur</t>
  </si>
  <si>
    <t>Rep. Checa</t>
  </si>
  <si>
    <t>Est. Akron, Guadalajara</t>
  </si>
  <si>
    <t>Canadá</t>
  </si>
  <si>
    <t>Bosnia-Herz.</t>
  </si>
  <si>
    <t>BMO Field, Toronto</t>
  </si>
  <si>
    <t>13/06</t>
  </si>
  <si>
    <t>03:00</t>
  </si>
  <si>
    <t>EE.UU.</t>
  </si>
  <si>
    <t>Paraguay</t>
  </si>
  <si>
    <t>SoFi Stadium, Los Ángeles</t>
  </si>
  <si>
    <t>06:00</t>
  </si>
  <si>
    <t>Australia</t>
  </si>
  <si>
    <t>Turquía</t>
  </si>
  <si>
    <t>BC Place, Vancouver</t>
  </si>
  <si>
    <t>Qatar</t>
  </si>
  <si>
    <t>Suiza</t>
  </si>
  <si>
    <t>Levi's Stadium, San Francisco</t>
  </si>
  <si>
    <t>14/06</t>
  </si>
  <si>
    <t>00:00</t>
  </si>
  <si>
    <t>Brasil</t>
  </si>
  <si>
    <t>Marruecos</t>
  </si>
  <si>
    <t>MetLife Stadium, Nueva York/NJ</t>
  </si>
  <si>
    <t>Haití</t>
  </si>
  <si>
    <t>Escocia</t>
  </si>
  <si>
    <t>Gillette Stadium, Boston</t>
  </si>
  <si>
    <t>19:00</t>
  </si>
  <si>
    <t>Alemania</t>
  </si>
  <si>
    <t>Curaçao</t>
  </si>
  <si>
    <t>NRG Stadium, Houston</t>
  </si>
  <si>
    <t>22:00</t>
  </si>
  <si>
    <t>Países Bajos</t>
  </si>
  <si>
    <t>Japón</t>
  </si>
  <si>
    <t>AT&amp;T Stadium, Dallas</t>
  </si>
  <si>
    <t>15/06</t>
  </si>
  <si>
    <t>01:00</t>
  </si>
  <si>
    <t>Costa de Marfil</t>
  </si>
  <si>
    <t>Ecuador</t>
  </si>
  <si>
    <t>Lincoln Financial, Filadelfia</t>
  </si>
  <si>
    <t>Túnez</t>
  </si>
  <si>
    <t>Suecia</t>
  </si>
  <si>
    <t>Est. BBVA, Monterrey</t>
  </si>
  <si>
    <t>18:00</t>
  </si>
  <si>
    <t>ESPAÑA</t>
  </si>
  <si>
    <t>CABO VERDE</t>
  </si>
  <si>
    <t>Mercedes-Benz Stadium, Atlanta</t>
  </si>
  <si>
    <t>Bélgica</t>
  </si>
  <si>
    <t>Egipto</t>
  </si>
  <si>
    <t>Hard Rock Stadium, Miami</t>
  </si>
  <si>
    <t>16/06</t>
  </si>
  <si>
    <t>Arabia Saudí</t>
  </si>
  <si>
    <t>Uruguay</t>
  </si>
  <si>
    <t>Irán</t>
  </si>
  <si>
    <t>Nueva Zelanda</t>
  </si>
  <si>
    <t>Lumen Field, Seattle</t>
  </si>
  <si>
    <t>Austria</t>
  </si>
  <si>
    <t>Jordania</t>
  </si>
  <si>
    <t>Arrowhead Stadium, Kansas City</t>
  </si>
  <si>
    <t>Francia</t>
  </si>
  <si>
    <t>Senegal</t>
  </si>
  <si>
    <t>17/06</t>
  </si>
  <si>
    <t>Irak</t>
  </si>
  <si>
    <t>Noruega</t>
  </si>
  <si>
    <t>Argentina</t>
  </si>
  <si>
    <t>Argelia</t>
  </si>
  <si>
    <t>Portugal</t>
  </si>
  <si>
    <t>R.D. Congo</t>
  </si>
  <si>
    <t>Inglaterra</t>
  </si>
  <si>
    <t>Croacia</t>
  </si>
  <si>
    <t>18/06</t>
  </si>
  <si>
    <t>Ghana</t>
  </si>
  <si>
    <t>Panamá</t>
  </si>
  <si>
    <t>Uzbekistán</t>
  </si>
  <si>
    <t>Colombia</t>
  </si>
  <si>
    <t xml:space="preserve">  JORNADA 2  ·  18 al 24 de junio</t>
  </si>
  <si>
    <t>19/06</t>
  </si>
  <si>
    <t>20/06</t>
  </si>
  <si>
    <t>21/06</t>
  </si>
  <si>
    <t>02:00</t>
  </si>
  <si>
    <t>ARABIA SAUDÍ</t>
  </si>
  <si>
    <t>22/06</t>
  </si>
  <si>
    <t>Cabo Verde</t>
  </si>
  <si>
    <t>23:00</t>
  </si>
  <si>
    <t>23/06</t>
  </si>
  <si>
    <t>05:00</t>
  </si>
  <si>
    <t>24/06</t>
  </si>
  <si>
    <t xml:space="preserve">  JORNADA 3  ·  24 al 28 de junio  ⚠️ Partidos simultáneos por grupo</t>
  </si>
  <si>
    <t>25/06</t>
  </si>
  <si>
    <t>26/06</t>
  </si>
  <si>
    <t>27/06</t>
  </si>
  <si>
    <t>URUGUAY</t>
  </si>
  <si>
    <t>Est. Akron, Guadalajara (México)</t>
  </si>
  <si>
    <t>28/06</t>
  </si>
  <si>
    <t>01:30</t>
  </si>
  <si>
    <t xml:space="preserve">  FASES ELIMINATORIAS</t>
  </si>
  <si>
    <t>28 jun–3 jul</t>
  </si>
  <si>
    <t>—</t>
  </si>
  <si>
    <t>1/16 de final</t>
  </si>
  <si>
    <t>32 equipos (2 primeros + 8 mejores terceros)</t>
  </si>
  <si>
    <t>16 partidos — EE.UU., México, Canadá</t>
  </si>
  <si>
    <t>4–7 jul</t>
  </si>
  <si>
    <t>Octavos de final</t>
  </si>
  <si>
    <t>16 equipos</t>
  </si>
  <si>
    <t>8 partidos</t>
  </si>
  <si>
    <t>9–12 jul</t>
  </si>
  <si>
    <t>Cuartos de final</t>
  </si>
  <si>
    <t>8 equipos</t>
  </si>
  <si>
    <t>4 partidos</t>
  </si>
  <si>
    <t>14–15 jul</t>
  </si>
  <si>
    <t>Semifinales</t>
  </si>
  <si>
    <t>4 equipos</t>
  </si>
  <si>
    <t>Dallas (14 jul) · Atlanta (15 jul)</t>
  </si>
  <si>
    <t>18 jul</t>
  </si>
  <si>
    <t>3er y 4º puesto</t>
  </si>
  <si>
    <t>Miami</t>
  </si>
  <si>
    <t>19 jul</t>
  </si>
  <si>
    <t>🏆 FINAL</t>
  </si>
  <si>
    <t>MetLife Stadium, Nueva York/Nueva Jersey</t>
  </si>
  <si>
    <t>⚽  GRUPO A  —  México · Sudáfrica · Corea del Sur · Rep. Checa</t>
  </si>
  <si>
    <t>✏️  CELDAS VERDES = tú rellenas.  PRED. LOCAL y PRED. VISITANTE = goles que crees que mete cada equipo (el marcador).  SIGNO = escribe  1  si gana el local,  X  si empatan,  2  si gana el visitante.  Puedes poner un signo diferente al marcador para cubrirte (ver instrucciones).  CELDAS GRISES = el árbitro.</t>
  </si>
  <si>
    <t>JOR.</t>
  </si>
  <si>
    <t>PRED.
LOCAL
(goles)</t>
  </si>
  <si>
    <t>PRED.
VISIT.
(goles)</t>
  </si>
  <si>
    <t>SIGNO
1·X·2
(tú eliges)</t>
  </si>
  <si>
    <t>REAL
LOCAL
(árbitro)</t>
  </si>
  <si>
    <t>REAL
VISIT.
(árbitro)</t>
  </si>
  <si>
    <t>Pts
Signo</t>
  </si>
  <si>
    <t>Pts
Exacto</t>
  </si>
  <si>
    <t>HORA
ESP.</t>
  </si>
  <si>
    <t xml:space="preserve">  JORNADA 1</t>
  </si>
  <si>
    <t>11 jun</t>
  </si>
  <si>
    <t>X</t>
  </si>
  <si>
    <t>12 jun</t>
  </si>
  <si>
    <t xml:space="preserve">  JORNADA 2</t>
  </si>
  <si>
    <t>19 jun</t>
  </si>
  <si>
    <t>18 jun</t>
  </si>
  <si>
    <t xml:space="preserve">  JORNADA 3</t>
  </si>
  <si>
    <t>25 jun</t>
  </si>
  <si>
    <t>📊  CLASIFICACIÓN DEL GRUPO  —  ¿Quién queda 1º, 2º y 3º?</t>
  </si>
  <si>
    <t>Posicion</t>
  </si>
  <si>
    <t>TU PREDICCION - escribe el equipo en verde</t>
  </si>
  <si>
    <t>RESULTADO REAL - el arbitro lo rellena</t>
  </si>
  <si>
    <t>Pts</t>
  </si>
  <si>
    <t>🥇  1º del grupo</t>
  </si>
  <si>
    <t>MÉXICO</t>
  </si>
  <si>
    <t>🥈  2º del grupo</t>
  </si>
  <si>
    <t>COREA DEL SUR</t>
  </si>
  <si>
    <t>🥉  3º del grupo — solo vale 1 pt si pasa a 1/16</t>
  </si>
  <si>
    <t>REPUBLICA CHECA</t>
  </si>
  <si>
    <t>🎯  TOTAL PUNTOS GRUPO A</t>
  </si>
  <si>
    <t>Signo acertado (1 pt cada partido)</t>
  </si>
  <si>
    <t>Marcador exacto (3 pts cada partido)</t>
  </si>
  <si>
    <t>Clasificación 1º y 2º</t>
  </si>
  <si>
    <t>3º clasificado (si pasa a 1/16)</t>
  </si>
  <si>
    <t>TOTAL GRUPO</t>
  </si>
  <si>
    <t>⚽  GRUPO B  —  Canadá · Qatar · Suiza · Bosnia-Herz.</t>
  </si>
  <si>
    <t>13 jun</t>
  </si>
  <si>
    <t>24 jun</t>
  </si>
  <si>
    <t>QATAR</t>
  </si>
  <si>
    <t>BOSNIA</t>
  </si>
  <si>
    <t>SUIZA</t>
  </si>
  <si>
    <t>🎯  TOTAL PUNTOS GRUPO B</t>
  </si>
  <si>
    <t>⚽  GRUPO C  —  Brasil · Marruecos · Haití · Escocia</t>
  </si>
  <si>
    <t>14 jun</t>
  </si>
  <si>
    <t>20 jun</t>
  </si>
  <si>
    <t>BRASIL</t>
  </si>
  <si>
    <t>MARRUECOS</t>
  </si>
  <si>
    <t>ESCOCIA</t>
  </si>
  <si>
    <t>🎯  TOTAL PUNTOS GRUPO C</t>
  </si>
  <si>
    <t>⚽  GRUPO D  —  EE.UU. · Paraguay · Australia · Turquía</t>
  </si>
  <si>
    <t>26 jun</t>
  </si>
  <si>
    <t xml:space="preserve">PARAGUAY </t>
  </si>
  <si>
    <t xml:space="preserve">TURQUÍA </t>
  </si>
  <si>
    <t>EE.UU</t>
  </si>
  <si>
    <t>🎯  TOTAL PUNTOS GRUPO D</t>
  </si>
  <si>
    <t>⚽  GRUPO E  —  Alemania · Curaçao · Costa de Marfil · Ecuador</t>
  </si>
  <si>
    <t>15 jun</t>
  </si>
  <si>
    <t>21 jun</t>
  </si>
  <si>
    <t>ALEMANIA</t>
  </si>
  <si>
    <t>ECUADOR</t>
  </si>
  <si>
    <t>COSTA DE MARFIL</t>
  </si>
  <si>
    <t>🎯  TOTAL PUNTOS GRUPO E</t>
  </si>
  <si>
    <t>⚽  GRUPO F  —  Países Bajos · Japón · Túnez · Suecia</t>
  </si>
  <si>
    <t>PAÍSES BAJOS</t>
  </si>
  <si>
    <t>JAPÓN</t>
  </si>
  <si>
    <t>SUECIA</t>
  </si>
  <si>
    <t>🎯  TOTAL PUNTOS GRUPO F</t>
  </si>
  <si>
    <t>⚽  GRUPO G  —  Bélgica · Egipto · Irán · Nueva Zelanda</t>
  </si>
  <si>
    <t>16 jun</t>
  </si>
  <si>
    <t>22 jun</t>
  </si>
  <si>
    <t>27 jun</t>
  </si>
  <si>
    <t>BELGICA</t>
  </si>
  <si>
    <t>EGIPTO</t>
  </si>
  <si>
    <t>IRÁN</t>
  </si>
  <si>
    <t>🎯  TOTAL PUNTOS GRUPO G</t>
  </si>
  <si>
    <t>⚽  GRUPO H  —  España · Uruguay · Arabia Saudí · Cabo Verde</t>
  </si>
  <si>
    <t>España</t>
  </si>
  <si>
    <t xml:space="preserve"> X</t>
  </si>
  <si>
    <t>🎯  TOTAL PUNTOS GRUPO H</t>
  </si>
  <si>
    <t>⚽  GRUPO I  —  Francia · Senegal · Noruega · Irak</t>
  </si>
  <si>
    <t>17 jun</t>
  </si>
  <si>
    <t>23 jun</t>
  </si>
  <si>
    <t>FRANCIA</t>
  </si>
  <si>
    <t>NORUEGA</t>
  </si>
  <si>
    <t>SENEGAL</t>
  </si>
  <si>
    <t>🎯  TOTAL PUNTOS GRUPO I</t>
  </si>
  <si>
    <t>⚽  GRUPO J  —  Argentina · Argelia · Austria · Jordania</t>
  </si>
  <si>
    <t>ARGENTINA</t>
  </si>
  <si>
    <t>ARGELIA</t>
  </si>
  <si>
    <t>AUSTRIA</t>
  </si>
  <si>
    <t>🎯  TOTAL PUNTOS GRUPO J</t>
  </si>
  <si>
    <t>⚽  GRUPO K  —  Portugal · Uzbekistán · Colombia · R.D. Congo</t>
  </si>
  <si>
    <t>28 jun</t>
  </si>
  <si>
    <t>PORTUGAL</t>
  </si>
  <si>
    <t>COLOMBIA</t>
  </si>
  <si>
    <t>R.D. CONGO</t>
  </si>
  <si>
    <t>🎯  TOTAL PUNTOS GRUPO K</t>
  </si>
  <si>
    <t>⚽  GRUPO L  —  Inglaterra · Croacia · Ghana · Panamá</t>
  </si>
  <si>
    <t>INGLATERRA</t>
  </si>
  <si>
    <t>CROACIA</t>
  </si>
  <si>
    <t>GHANA</t>
  </si>
  <si>
    <t>🎯  TOTAL PUNTOS GRUPO L</t>
  </si>
  <si>
    <t>🏆  FASE ELIMINATORIA  —  Mundial 2026</t>
  </si>
  <si>
    <t>✏️  Celdas VERDES = tú rellenas con los equipos que crees que van a ganar.  Celdas GRISES = el árbitro anota el ganador real.</t>
  </si>
  <si>
    <t xml:space="preserve">  ⚡ 1/16 DE FINAL  (2 pts por acierto)  ·  28 jun – 3 jul</t>
  </si>
  <si>
    <t>Nº</t>
  </si>
  <si>
    <t>TU PRED.: Local</t>
  </si>
  <si>
    <t>Goles
Local</t>
  </si>
  <si>
    <t>Goles
Visit.</t>
  </si>
  <si>
    <t>TU PRED.: Visitante</t>
  </si>
  <si>
    <t>GANADOR REAL
(árbitro)</t>
  </si>
  <si>
    <t>Puntos</t>
  </si>
  <si>
    <t xml:space="preserve">  🔥 OCTAVOS DE FINAL  (3 pts por acierto)  ·  4 – 7 jul</t>
  </si>
  <si>
    <t xml:space="preserve">  💥 CUARTOS DE FINAL  (4 pts por acierto)  ·  9 – 12 jul</t>
  </si>
  <si>
    <t xml:space="preserve">  ⭐ SEMIFINALES  (5 pts por acierto)  ·  14 – 15 jul</t>
  </si>
  <si>
    <t xml:space="preserve">  🥉 3º Y 4º PUESTO  (6 pts)  ·  18 jul</t>
  </si>
  <si>
    <t xml:space="preserve">  🏆 FINAL  —  Subcampeón 8 pts  |  CAMPEÓN 15 pts  ·  19 jul · MetLife Stadium</t>
  </si>
  <si>
    <t>⚽  PICHICHI  —  ¿Quién será el máximo goleador del Mundial?  →  5 pts si aciertas</t>
  </si>
  <si>
    <t>TU PREDICCIÓN  (nombre del jugador)</t>
  </si>
  <si>
    <t>PICHICHI REAL  (árbitro)</t>
  </si>
  <si>
    <t>⚽</t>
  </si>
  <si>
    <t>🎯  TOTAL PUNTOS FASE ELIMINATORIA + PICHICHI</t>
  </si>
  <si>
    <t>🏅  CLASIFICACIÓN GENERAL  —  Porra Mundial 2026</t>
  </si>
  <si>
    <t>✏️  Escribe los nombres en la columna verde.  Cuando haya resultados, el árbitro introduce los puntos de cada hoja de grupo y de Eliminatorias.</t>
  </si>
  <si>
    <t>#</t>
  </si>
  <si>
    <t>PARTICIPANTE</t>
  </si>
  <si>
    <t>Pts Grupos</t>
  </si>
  <si>
    <t>Pts Eliminat.</t>
  </si>
  <si>
    <t>Pts Pichichi</t>
  </si>
  <si>
    <t>TOTAL</t>
  </si>
  <si>
    <t>Posición</t>
  </si>
  <si>
    <t>LUISMI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</si>
</sst>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1.0"/>
      <color theme="1"/>
      <name val="Calibri"/>
      <scheme val="minor"/>
    </font>
    <font>
      <b/>
      <sz val="22.0"/>
      <color rgb="FFFFFFFF"/>
      <name val="Arial"/>
    </font>
    <font/>
    <font>
      <sz val="13.0"/>
      <color rgb="FFFFFFFF"/>
      <name val="Arial"/>
    </font>
    <font>
      <b/>
      <sz val="13.0"/>
      <color rgb="FFFFFFFF"/>
      <name val="Arial"/>
    </font>
    <font>
      <b/>
      <sz val="11.0"/>
      <color rgb="FFFFFFFF"/>
      <name val="Arial"/>
    </font>
    <font>
      <b/>
      <sz val="10.0"/>
      <color rgb="FF1A1A1A"/>
      <name val="Arial"/>
    </font>
    <font>
      <sz val="9.0"/>
      <color rgb="FF333333"/>
      <name val="Arial"/>
    </font>
    <font>
      <sz val="10.0"/>
      <color rgb="FF111111"/>
      <name val="Arial"/>
    </font>
    <font>
      <b/>
      <sz val="10.0"/>
      <color rgb="FF111111"/>
      <name val="Arial"/>
    </font>
    <font>
      <sz val="10.0"/>
      <color rgb="FFC0392B"/>
      <name val="Arial"/>
    </font>
    <font>
      <b/>
      <sz val="10.0"/>
      <color rgb="FFC0392B"/>
      <name val="Arial"/>
    </font>
    <font>
      <b/>
      <sz val="10.0"/>
      <color rgb="FFFFFFFF"/>
      <name val="Arial"/>
    </font>
    <font>
      <sz val="10.0"/>
      <color rgb="FFFFFFFF"/>
      <name val="Arial"/>
    </font>
    <font>
      <b/>
      <sz val="14.0"/>
      <color rgb="FFFFFFFF"/>
      <name val="Arial"/>
    </font>
    <font>
      <i/>
      <sz val="9.0"/>
      <color rgb="FF333333"/>
      <name val="Arial"/>
    </font>
    <font>
      <sz val="10.0"/>
      <color rgb="FF555555"/>
      <name val="Arial"/>
    </font>
    <font>
      <sz val="10.0"/>
      <color rgb="FF1A1A1A"/>
      <name val="Arial"/>
    </font>
    <font>
      <sz val="10.0"/>
      <color rgb="FF999999"/>
      <name val="Arial"/>
    </font>
    <font>
      <sz val="9.0"/>
      <color rgb="FF444444"/>
      <name val="Arial"/>
    </font>
    <font>
      <sz val="10.0"/>
      <color rgb="FF333333"/>
      <name val="Arial"/>
    </font>
    <font>
      <i/>
      <sz val="8.0"/>
      <color rgb="FF333333"/>
      <name val="Arial"/>
    </font>
    <font>
      <b/>
      <sz val="8.0"/>
      <color rgb="FFFFFFFF"/>
      <name val="Arial"/>
    </font>
    <font>
      <sz val="9.0"/>
      <color rgb="FF999999"/>
      <name val="Arial"/>
    </font>
    <font>
      <sz val="11.0"/>
      <color rgb="FF111111"/>
      <name val="Arial"/>
    </font>
    <font>
      <sz val="11.0"/>
      <color theme="1"/>
      <name val="Calibri"/>
    </font>
    <font>
      <b/>
      <sz val="9.0"/>
      <color rgb="FF999999"/>
      <name val="Arial"/>
    </font>
    <font>
      <sz val="9.0"/>
      <color rgb="FF555555"/>
      <name val="Arial"/>
    </font>
    <font>
      <sz val="9.0"/>
      <color rgb="FF111111"/>
      <name val="Arial"/>
    </font>
    <font>
      <b/>
      <sz val="9.0"/>
      <color rgb="FFC0392B"/>
      <name val="Arial"/>
    </font>
    <font>
      <b/>
      <sz val="9.0"/>
      <color rgb="FFFFFFFF"/>
      <name val="Arial"/>
    </font>
    <font>
      <b/>
      <sz val="11.0"/>
      <color rgb="FF1A5276"/>
      <name val="Arial"/>
    </font>
    <font>
      <b/>
      <sz val="12.0"/>
      <color rgb="FFFFFFFF"/>
      <name val="Arial"/>
    </font>
    <font>
      <b/>
      <sz val="14.0"/>
      <color rgb="FFC0392B"/>
      <name val="Arial"/>
    </font>
    <font>
      <b/>
      <sz val="11.0"/>
      <color theme="1"/>
      <name val="Calibri"/>
    </font>
    <font>
      <b/>
      <sz val="11.0"/>
      <color rgb="FFC0392B"/>
      <name val="Arial"/>
    </font>
    <font>
      <b/>
      <sz val="16.0"/>
      <color rgb="FFFFFFFF"/>
      <name val="Arial"/>
    </font>
    <font>
      <sz val="14.0"/>
      <color theme="1"/>
      <name val="Arial"/>
    </font>
    <font>
      <b/>
      <sz val="11.0"/>
      <color rgb="FF555555"/>
      <name val="Arial"/>
    </font>
    <font>
      <sz val="11.0"/>
      <color rgb="FF333333"/>
      <name val="Arial"/>
    </font>
    <font>
      <b/>
      <sz val="12.0"/>
      <color rgb="FFC0392B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C0392B"/>
        <bgColor rgb="FFC0392B"/>
      </patternFill>
    </fill>
    <fill>
      <patternFill patternType="solid">
        <fgColor rgb="FF2C3E50"/>
        <bgColor rgb="FF2C3E50"/>
      </patternFill>
    </fill>
    <fill>
      <patternFill patternType="solid">
        <fgColor rgb="FF1A5276"/>
        <bgColor rgb="FF1A5276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2F3F4"/>
        <bgColor rgb="FFF2F3F4"/>
      </patternFill>
    </fill>
    <fill>
      <patternFill patternType="solid">
        <fgColor rgb="FFFFF3CD"/>
        <bgColor rgb="FFFFF3CD"/>
      </patternFill>
    </fill>
    <fill>
      <patternFill patternType="solid">
        <fgColor rgb="FFE67E22"/>
        <bgColor rgb="FFE67E22"/>
      </patternFill>
    </fill>
    <fill>
      <patternFill patternType="solid">
        <fgColor rgb="FFFFFDE7"/>
        <bgColor rgb="FFFFFDE7"/>
      </patternFill>
    </fill>
    <fill>
      <patternFill patternType="solid">
        <fgColor rgb="FF1E8449"/>
        <bgColor rgb="FF1E8449"/>
      </patternFill>
    </fill>
    <fill>
      <patternFill patternType="solid">
        <fgColor rgb="FF888888"/>
        <bgColor rgb="FF888888"/>
      </patternFill>
    </fill>
    <fill>
      <patternFill patternType="solid">
        <fgColor rgb="FF555555"/>
        <bgColor rgb="FF555555"/>
      </patternFill>
    </fill>
    <fill>
      <patternFill patternType="solid">
        <fgColor rgb="FF6C3483"/>
        <bgColor rgb="FF6C3483"/>
      </patternFill>
    </fill>
    <fill>
      <patternFill patternType="solid">
        <fgColor rgb="FFD4AC0D"/>
        <bgColor rgb="FFD4AC0D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/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left" vertical="center"/>
    </xf>
    <xf borderId="4" fillId="3" fontId="5" numFmtId="0" xfId="0" applyAlignment="1" applyBorder="1" applyFont="1">
      <alignment horizontal="center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7" fontId="6" numFmtId="0" xfId="0" applyAlignment="1" applyBorder="1" applyFill="1" applyFont="1">
      <alignment horizontal="left" shrinkToFit="0" vertical="center" wrapText="1"/>
    </xf>
    <xf borderId="4" fillId="7" fontId="7" numFmtId="0" xfId="0" applyAlignment="1" applyBorder="1" applyFont="1">
      <alignment horizontal="left" shrinkToFit="0" vertical="center" wrapText="1"/>
    </xf>
    <xf borderId="4" fillId="8" fontId="6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vertical="center"/>
    </xf>
    <xf borderId="5" fillId="3" fontId="5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6" fontId="8" numFmtId="0" xfId="0" applyAlignment="1" applyBorder="1" applyFont="1">
      <alignment horizontal="left" shrinkToFit="0" vertical="center" wrapText="1"/>
    </xf>
    <xf borderId="5" fillId="6" fontId="9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left" shrinkToFit="0" vertical="center" wrapText="1"/>
    </xf>
    <xf borderId="5" fillId="5" fontId="9" numFmtId="0" xfId="0" applyAlignment="1" applyBorder="1" applyFont="1">
      <alignment horizontal="center" vertical="center"/>
    </xf>
    <xf borderId="4" fillId="9" fontId="10" numFmtId="0" xfId="0" applyAlignment="1" applyBorder="1" applyFill="1" applyFont="1">
      <alignment horizontal="left" shrinkToFit="0" vertical="center" wrapText="1"/>
    </xf>
    <xf borderId="5" fillId="9" fontId="11" numFmtId="0" xfId="0" applyAlignment="1" applyBorder="1" applyFont="1">
      <alignment horizontal="center" vertical="center"/>
    </xf>
    <xf borderId="1" fillId="10" fontId="4" numFmtId="0" xfId="0" applyAlignment="1" applyBorder="1" applyFill="1" applyFont="1">
      <alignment horizontal="left" vertical="center"/>
    </xf>
    <xf borderId="4" fillId="7" fontId="9" numFmtId="0" xfId="0" applyAlignment="1" applyBorder="1" applyFont="1">
      <alignment horizontal="left" vertical="center"/>
    </xf>
    <xf borderId="5" fillId="7" fontId="8" numFmtId="0" xfId="0" applyAlignment="1" applyBorder="1" applyFont="1">
      <alignment horizontal="left" vertical="center"/>
    </xf>
    <xf borderId="4" fillId="8" fontId="9" numFmtId="0" xfId="0" applyAlignment="1" applyBorder="1" applyFont="1">
      <alignment horizontal="left" vertical="center"/>
    </xf>
    <xf borderId="5" fillId="8" fontId="8" numFmtId="0" xfId="0" applyAlignment="1" applyBorder="1" applyFont="1">
      <alignment horizontal="left" vertical="center"/>
    </xf>
    <xf borderId="4" fillId="9" fontId="9" numFmtId="0" xfId="0" applyAlignment="1" applyBorder="1" applyFont="1">
      <alignment horizontal="left" vertical="center"/>
    </xf>
    <xf borderId="5" fillId="9" fontId="8" numFmtId="0" xfId="0" applyAlignment="1" applyBorder="1" applyFont="1">
      <alignment horizontal="left" vertical="center"/>
    </xf>
    <xf borderId="4" fillId="5" fontId="9" numFmtId="0" xfId="0" applyAlignment="1" applyBorder="1" applyFont="1">
      <alignment horizontal="left" vertical="center"/>
    </xf>
    <xf borderId="5" fillId="5" fontId="8" numFmtId="0" xfId="0" applyAlignment="1" applyBorder="1" applyFont="1">
      <alignment horizontal="left" vertical="center"/>
    </xf>
    <xf borderId="4" fillId="2" fontId="12" numFmtId="0" xfId="0" applyAlignment="1" applyBorder="1" applyFont="1">
      <alignment horizontal="left" vertical="center"/>
    </xf>
    <xf borderId="5" fillId="2" fontId="13" numFmtId="0" xfId="0" applyAlignment="1" applyBorder="1" applyFont="1">
      <alignment horizontal="left" vertical="center"/>
    </xf>
    <xf borderId="1" fillId="2" fontId="14" numFmtId="0" xfId="0" applyAlignment="1" applyBorder="1" applyFont="1">
      <alignment horizontal="center" vertical="center"/>
    </xf>
    <xf borderId="1" fillId="11" fontId="15" numFmtId="0" xfId="0" applyAlignment="1" applyBorder="1" applyFill="1" applyFont="1">
      <alignment horizontal="left" vertical="center"/>
    </xf>
    <xf borderId="4" fillId="3" fontId="12" numFmtId="0" xfId="0" applyAlignment="1" applyBorder="1" applyFont="1">
      <alignment horizontal="center" vertical="center"/>
    </xf>
    <xf borderId="5" fillId="4" fontId="12" numFmtId="0" xfId="0" applyAlignment="1" applyBorder="1" applyFont="1">
      <alignment horizontal="left" vertical="center"/>
    </xf>
    <xf borderId="4" fillId="6" fontId="16" numFmtId="0" xfId="0" applyAlignment="1" applyBorder="1" applyFont="1">
      <alignment horizontal="center" vertical="center"/>
    </xf>
    <xf borderId="4" fillId="6" fontId="17" numFmtId="0" xfId="0" applyAlignment="1" applyBorder="1" applyFont="1">
      <alignment horizontal="center" vertical="center"/>
    </xf>
    <xf borderId="4" fillId="6" fontId="8" numFmtId="0" xfId="0" applyAlignment="1" applyBorder="1" applyFont="1">
      <alignment horizontal="right" vertical="center"/>
    </xf>
    <xf borderId="4" fillId="6" fontId="18" numFmtId="0" xfId="0" applyAlignment="1" applyBorder="1" applyFont="1">
      <alignment horizontal="center" vertical="center"/>
    </xf>
    <xf borderId="4" fillId="6" fontId="8" numFmtId="0" xfId="0" applyAlignment="1" applyBorder="1" applyFont="1">
      <alignment horizontal="left" vertical="center"/>
    </xf>
    <xf borderId="4" fillId="6" fontId="19" numFmtId="0" xfId="0" applyAlignment="1" applyBorder="1" applyFont="1">
      <alignment horizontal="left" vertical="center"/>
    </xf>
    <xf borderId="4" fillId="5" fontId="16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right" vertical="center"/>
    </xf>
    <xf borderId="4" fillId="5" fontId="18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left" vertical="center"/>
    </xf>
    <xf borderId="4" fillId="5" fontId="19" numFmtId="0" xfId="0" applyAlignment="1" applyBorder="1" applyFont="1">
      <alignment horizontal="left" vertical="center"/>
    </xf>
    <xf borderId="4" fillId="6" fontId="11" numFmtId="0" xfId="0" applyAlignment="1" applyBorder="1" applyFont="1">
      <alignment horizontal="center" vertical="center"/>
    </xf>
    <xf borderId="4" fillId="5" fontId="17" numFmtId="0" xfId="0" applyAlignment="1" applyBorder="1" applyFont="1">
      <alignment horizontal="center" vertical="center"/>
    </xf>
    <xf borderId="4" fillId="9" fontId="16" numFmtId="0" xfId="0" applyAlignment="1" applyBorder="1" applyFont="1">
      <alignment horizontal="center" vertical="center"/>
    </xf>
    <xf borderId="4" fillId="9" fontId="17" numFmtId="0" xfId="0" applyAlignment="1" applyBorder="1" applyFont="1">
      <alignment horizontal="center" vertical="center"/>
    </xf>
    <xf borderId="4" fillId="9" fontId="11" numFmtId="0" xfId="0" applyAlignment="1" applyBorder="1" applyFont="1">
      <alignment horizontal="right" vertical="center"/>
    </xf>
    <xf borderId="4" fillId="9" fontId="18" numFmtId="0" xfId="0" applyAlignment="1" applyBorder="1" applyFont="1">
      <alignment horizontal="center" vertical="center"/>
    </xf>
    <xf borderId="4" fillId="9" fontId="11" numFmtId="0" xfId="0" applyAlignment="1" applyBorder="1" applyFont="1">
      <alignment horizontal="left" vertical="center"/>
    </xf>
    <xf borderId="4" fillId="9" fontId="19" numFmtId="0" xfId="0" applyAlignment="1" applyBorder="1" applyFont="1">
      <alignment horizontal="left" vertical="center"/>
    </xf>
    <xf borderId="5" fillId="2" fontId="12" numFmtId="0" xfId="0" applyAlignment="1" applyBorder="1" applyFont="1">
      <alignment horizontal="left" vertical="center"/>
    </xf>
    <xf borderId="4" fillId="9" fontId="11" numFmtId="0" xfId="0" applyAlignment="1" applyBorder="1" applyFont="1">
      <alignment horizontal="center" vertical="center"/>
    </xf>
    <xf borderId="5" fillId="3" fontId="12" numFmtId="0" xfId="0" applyAlignment="1" applyBorder="1" applyFont="1">
      <alignment horizontal="left" vertical="center"/>
    </xf>
    <xf borderId="4" fillId="5" fontId="20" numFmtId="0" xfId="0" applyAlignment="1" applyBorder="1" applyFont="1">
      <alignment horizontal="center" vertical="center"/>
    </xf>
    <xf borderId="4" fillId="5" fontId="20" numFmtId="0" xfId="0" applyAlignment="1" applyBorder="1" applyFont="1">
      <alignment horizontal="left" vertical="center"/>
    </xf>
    <xf borderId="4" fillId="6" fontId="20" numFmtId="0" xfId="0" applyAlignment="1" applyBorder="1" applyFont="1">
      <alignment horizontal="center" vertical="center"/>
    </xf>
    <xf borderId="4" fillId="6" fontId="20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center" vertical="center"/>
    </xf>
    <xf borderId="5" fillId="11" fontId="21" numFmtId="0" xfId="0" applyAlignment="1" applyBorder="1" applyFont="1">
      <alignment horizontal="left" shrinkToFit="0" vertical="center" wrapText="1"/>
    </xf>
    <xf borderId="4" fillId="3" fontId="22" numFmtId="0" xfId="0" applyAlignment="1" applyBorder="1" applyFont="1">
      <alignment horizontal="center" shrinkToFit="0" vertical="center" wrapText="1"/>
    </xf>
    <xf borderId="4" fillId="12" fontId="22" numFmtId="0" xfId="0" applyAlignment="1" applyBorder="1" applyFill="1" applyFont="1">
      <alignment horizontal="center" shrinkToFit="0" vertical="center" wrapText="1"/>
    </xf>
    <xf borderId="4" fillId="13" fontId="22" numFmtId="0" xfId="0" applyAlignment="1" applyBorder="1" applyFill="1" applyFont="1">
      <alignment horizontal="center" shrinkToFit="0" vertical="center" wrapText="1"/>
    </xf>
    <xf borderId="4" fillId="14" fontId="22" numFmtId="0" xfId="0" applyAlignment="1" applyBorder="1" applyFill="1" applyFont="1">
      <alignment horizontal="center" shrinkToFit="0" vertical="center" wrapText="1"/>
    </xf>
    <xf borderId="4" fillId="6" fontId="23" numFmtId="0" xfId="0" applyAlignment="1" applyBorder="1" applyFont="1">
      <alignment horizontal="center" vertical="center"/>
    </xf>
    <xf borderId="4" fillId="6" fontId="24" numFmtId="0" xfId="0" applyAlignment="1" applyBorder="1" applyFont="1">
      <alignment horizontal="right" vertical="center"/>
    </xf>
    <xf borderId="4" fillId="7" fontId="25" numFmtId="0" xfId="0" applyAlignment="1" applyBorder="1" applyFont="1">
      <alignment horizontal="center" readingOrder="0" vertical="center"/>
    </xf>
    <xf borderId="4" fillId="6" fontId="26" numFmtId="0" xfId="0" applyAlignment="1" applyBorder="1" applyFont="1">
      <alignment horizontal="center" vertical="center"/>
    </xf>
    <xf borderId="4" fillId="6" fontId="24" numFmtId="0" xfId="0" applyAlignment="1" applyBorder="1" applyFont="1">
      <alignment horizontal="left" vertical="center"/>
    </xf>
    <xf borderId="4" fillId="8" fontId="25" numFmtId="0" xfId="0" applyAlignment="1" applyBorder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4" fillId="6" fontId="27" numFmtId="0" xfId="0" applyAlignment="1" applyBorder="1" applyFont="1">
      <alignment horizontal="center" vertical="center"/>
    </xf>
    <xf borderId="4" fillId="6" fontId="28" numFmtId="0" xfId="0" applyAlignment="1" applyBorder="1" applyFont="1">
      <alignment horizontal="center" vertical="center"/>
    </xf>
    <xf borderId="4" fillId="5" fontId="23" numFmtId="0" xfId="0" applyAlignment="1" applyBorder="1" applyFont="1">
      <alignment horizontal="center" vertical="center"/>
    </xf>
    <xf borderId="4" fillId="5" fontId="24" numFmtId="0" xfId="0" applyAlignment="1" applyBorder="1" applyFont="1">
      <alignment horizontal="right" vertical="center"/>
    </xf>
    <xf borderId="4" fillId="5" fontId="26" numFmtId="0" xfId="0" applyAlignment="1" applyBorder="1" applyFont="1">
      <alignment horizontal="center" vertical="center"/>
    </xf>
    <xf borderId="4" fillId="5" fontId="24" numFmtId="0" xfId="0" applyAlignment="1" applyBorder="1" applyFont="1">
      <alignment horizontal="left" vertical="center"/>
    </xf>
    <xf borderId="4" fillId="5" fontId="8" numFmtId="0" xfId="0" applyAlignment="1" applyBorder="1" applyFont="1">
      <alignment horizontal="center" vertical="center"/>
    </xf>
    <xf borderId="4" fillId="5" fontId="27" numFmtId="0" xfId="0" applyAlignment="1" applyBorder="1" applyFont="1">
      <alignment horizontal="center" vertical="center"/>
    </xf>
    <xf borderId="4" fillId="5" fontId="29" numFmtId="0" xfId="0" applyAlignment="1" applyBorder="1" applyFont="1">
      <alignment horizontal="center" vertical="center"/>
    </xf>
    <xf borderId="4" fillId="6" fontId="29" numFmtId="0" xfId="0" applyAlignment="1" applyBorder="1" applyFont="1">
      <alignment horizontal="center" vertical="center"/>
    </xf>
    <xf borderId="5" fillId="4" fontId="5" numFmtId="0" xfId="0" applyAlignment="1" applyBorder="1" applyFont="1">
      <alignment horizontal="left" vertical="center"/>
    </xf>
    <xf borderId="4" fillId="3" fontId="30" numFmtId="0" xfId="0" applyAlignment="1" applyBorder="1" applyFont="1">
      <alignment horizontal="center" vertical="center"/>
    </xf>
    <xf borderId="5" fillId="12" fontId="30" numFmtId="0" xfId="0" applyAlignment="1" applyBorder="1" applyFont="1">
      <alignment horizontal="left" vertical="center"/>
    </xf>
    <xf borderId="5" fillId="13" fontId="30" numFmtId="0" xfId="0" applyAlignment="1" applyBorder="1" applyFont="1">
      <alignment horizontal="left" vertical="center"/>
    </xf>
    <xf borderId="5" fillId="3" fontId="30" numFmtId="0" xfId="0" applyAlignment="1" applyBorder="1" applyFont="1">
      <alignment horizontal="center" vertical="center"/>
    </xf>
    <xf borderId="5" fillId="7" fontId="25" numFmtId="0" xfId="0" applyAlignment="1" applyBorder="1" applyFont="1">
      <alignment horizontal="left" readingOrder="0" vertical="center"/>
    </xf>
    <xf borderId="5" fillId="8" fontId="25" numFmtId="0" xfId="0" applyAlignment="1" applyBorder="1" applyFont="1">
      <alignment horizontal="left" vertical="center"/>
    </xf>
    <xf borderId="5" fillId="8" fontId="8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left" vertical="center"/>
    </xf>
    <xf borderId="5" fillId="5" fontId="31" numFmtId="0" xfId="0" applyAlignment="1" applyBorder="1" applyFont="1">
      <alignment horizontal="center" vertical="center"/>
    </xf>
    <xf borderId="5" fillId="3" fontId="32" numFmtId="0" xfId="0" applyAlignment="1" applyBorder="1" applyFont="1">
      <alignment horizontal="left" vertical="center"/>
    </xf>
    <xf borderId="5" fillId="9" fontId="33" numFmtId="0" xfId="0" applyAlignment="1" applyBorder="1" applyFont="1">
      <alignment horizontal="center" vertical="center"/>
    </xf>
    <xf borderId="4" fillId="5" fontId="28" numFmtId="0" xfId="0" applyAlignment="1" applyBorder="1" applyFont="1">
      <alignment horizontal="center" vertical="center"/>
    </xf>
    <xf borderId="5" fillId="7" fontId="34" numFmtId="0" xfId="0" applyAlignment="1" applyBorder="1" applyFont="1">
      <alignment horizontal="left" readingOrder="0" vertical="center"/>
    </xf>
    <xf borderId="4" fillId="7" fontId="3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4" fillId="9" fontId="23" numFmtId="0" xfId="0" applyAlignment="1" applyBorder="1" applyFont="1">
      <alignment horizontal="center" vertical="center"/>
    </xf>
    <xf borderId="4" fillId="9" fontId="35" numFmtId="0" xfId="0" applyAlignment="1" applyBorder="1" applyFont="1">
      <alignment horizontal="right" vertical="center"/>
    </xf>
    <xf borderId="4" fillId="9" fontId="26" numFmtId="0" xfId="0" applyAlignment="1" applyBorder="1" applyFont="1">
      <alignment horizontal="center" vertical="center"/>
    </xf>
    <xf borderId="4" fillId="9" fontId="35" numFmtId="0" xfId="0" applyAlignment="1" applyBorder="1" applyFont="1">
      <alignment horizontal="left" vertical="center"/>
    </xf>
    <xf borderId="4" fillId="8" fontId="25" numFmtId="0" xfId="0" applyAlignment="1" applyBorder="1" applyFont="1">
      <alignment horizontal="center" readingOrder="0" vertical="center"/>
    </xf>
    <xf borderId="4" fillId="9" fontId="8" numFmtId="0" xfId="0" applyAlignment="1" applyBorder="1" applyFont="1">
      <alignment horizontal="center" vertical="center"/>
    </xf>
    <xf borderId="4" fillId="9" fontId="27" numFmtId="0" xfId="0" applyAlignment="1" applyBorder="1" applyFont="1">
      <alignment horizontal="center" vertical="center"/>
    </xf>
    <xf borderId="4" fillId="9" fontId="28" numFmtId="0" xfId="0" applyAlignment="1" applyBorder="1" applyFont="1">
      <alignment horizontal="center" vertical="center"/>
    </xf>
    <xf borderId="4" fillId="9" fontId="29" numFmtId="0" xfId="0" applyAlignment="1" applyBorder="1" applyFont="1">
      <alignment horizontal="center" vertical="center"/>
    </xf>
    <xf borderId="4" fillId="7" fontId="25" numFmtId="0" xfId="0" applyAlignment="1" applyBorder="1" applyFont="1">
      <alignment horizontal="center" vertical="center"/>
    </xf>
    <xf borderId="1" fillId="2" fontId="36" numFmtId="0" xfId="0" applyAlignment="1" applyBorder="1" applyFont="1">
      <alignment horizontal="center" vertical="center"/>
    </xf>
    <xf borderId="5" fillId="11" fontId="15" numFmtId="0" xfId="0" applyAlignment="1" applyBorder="1" applyFont="1">
      <alignment horizontal="left" shrinkToFit="0" vertical="center" wrapText="1"/>
    </xf>
    <xf borderId="4" fillId="7" fontId="25" numFmtId="0" xfId="0" applyAlignment="1" applyBorder="1" applyFont="1">
      <alignment horizontal="left" vertical="center"/>
    </xf>
    <xf borderId="4" fillId="8" fontId="25" numFmtId="0" xfId="0" applyAlignment="1" applyBorder="1" applyFont="1">
      <alignment horizontal="left" vertical="center"/>
    </xf>
    <xf borderId="5" fillId="10" fontId="5" numFmtId="0" xfId="0" applyAlignment="1" applyBorder="1" applyFont="1">
      <alignment horizontal="left" vertical="center"/>
    </xf>
    <xf borderId="5" fillId="15" fontId="5" numFmtId="0" xfId="0" applyAlignment="1" applyBorder="1" applyFill="1" applyFont="1">
      <alignment horizontal="left" vertical="center"/>
    </xf>
    <xf borderId="5" fillId="12" fontId="5" numFmtId="0" xfId="0" applyAlignment="1" applyBorder="1" applyFont="1">
      <alignment horizontal="left" vertical="center"/>
    </xf>
    <xf borderId="5" fillId="16" fontId="32" numFmtId="0" xfId="0" applyAlignment="1" applyBorder="1" applyFill="1" applyFont="1">
      <alignment horizontal="left" vertical="center"/>
    </xf>
    <xf borderId="4" fillId="3" fontId="30" numFmtId="0" xfId="0" applyAlignment="1" applyBorder="1" applyFont="1">
      <alignment horizontal="center" shrinkToFit="0" vertical="center" wrapText="1"/>
    </xf>
    <xf borderId="4" fillId="12" fontId="30" numFmtId="0" xfId="0" applyAlignment="1" applyBorder="1" applyFont="1">
      <alignment horizontal="left" shrinkToFit="0" vertical="center" wrapText="1"/>
    </xf>
    <xf borderId="4" fillId="13" fontId="30" numFmtId="0" xfId="0" applyAlignment="1" applyBorder="1" applyFont="1">
      <alignment horizontal="center" shrinkToFit="0" vertical="center" wrapText="1"/>
    </xf>
    <xf borderId="4" fillId="9" fontId="37" numFmtId="0" xfId="0" applyAlignment="1" applyBorder="1" applyFont="1">
      <alignment horizontal="center" vertical="center"/>
    </xf>
    <xf borderId="5" fillId="7" fontId="25" numFmtId="0" xfId="0" applyAlignment="1" applyBorder="1" applyFont="1">
      <alignment horizontal="left" vertical="center"/>
    </xf>
    <xf borderId="4" fillId="9" fontId="33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4" fillId="6" fontId="38" numFmtId="0" xfId="0" applyAlignment="1" applyBorder="1" applyFont="1">
      <alignment horizontal="center" vertical="center"/>
    </xf>
    <xf borderId="4" fillId="7" fontId="34" numFmtId="0" xfId="0" applyAlignment="1" applyBorder="1" applyFont="1">
      <alignment horizontal="left" readingOrder="0" vertical="center"/>
    </xf>
    <xf borderId="4" fillId="8" fontId="39" numFmtId="0" xfId="0" applyAlignment="1" applyBorder="1" applyFont="1">
      <alignment horizontal="center" vertical="center"/>
    </xf>
    <xf borderId="4" fillId="9" fontId="40" numFmtId="0" xfId="0" applyAlignment="1" applyBorder="1" applyFont="1">
      <alignment horizontal="center" vertical="center"/>
    </xf>
    <xf borderId="4" fillId="6" fontId="31" numFmtId="0" xfId="0" applyAlignment="1" applyBorder="1" applyFont="1">
      <alignment horizontal="center" vertical="center"/>
    </xf>
    <xf borderId="4" fillId="5" fontId="38" numFmtId="0" xfId="0" applyAlignment="1" applyBorder="1" applyFont="1">
      <alignment horizontal="center" vertical="center"/>
    </xf>
    <xf borderId="4" fillId="5" fontId="3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3" width="40.0"/>
    <col customWidth="1" min="4" max="4" width="24.0"/>
    <col customWidth="1" min="5" max="26" width="8.71"/>
  </cols>
  <sheetData>
    <row r="1" ht="43.5" customHeight="1">
      <c r="A1" s="1" t="s">
        <v>0</v>
      </c>
      <c r="B1" s="2"/>
      <c r="C1" s="2"/>
      <c r="D1" s="3"/>
    </row>
    <row r="2" ht="25.5" customHeight="1">
      <c r="A2" s="4" t="s">
        <v>1</v>
      </c>
      <c r="B2" s="2"/>
      <c r="C2" s="2"/>
      <c r="D2" s="3"/>
    </row>
    <row r="4" ht="27.75" customHeight="1">
      <c r="A4" s="5" t="s">
        <v>2</v>
      </c>
      <c r="B4" s="2"/>
      <c r="C4" s="2"/>
      <c r="D4" s="3"/>
    </row>
    <row r="5" ht="63.75" customHeight="1">
      <c r="B5" s="6" t="s">
        <v>3</v>
      </c>
      <c r="C5" s="7" t="s">
        <v>4</v>
      </c>
      <c r="D5" s="8" t="s">
        <v>5</v>
      </c>
    </row>
    <row r="6" ht="63.75" customHeight="1">
      <c r="B6" s="6" t="s">
        <v>6</v>
      </c>
      <c r="C6" s="9" t="s">
        <v>7</v>
      </c>
      <c r="D6" s="10" t="s">
        <v>8</v>
      </c>
    </row>
    <row r="7" ht="257.25" customHeight="1">
      <c r="B7" s="6" t="s">
        <v>9</v>
      </c>
      <c r="C7" s="11" t="s">
        <v>10</v>
      </c>
      <c r="D7" s="12" t="s">
        <v>11</v>
      </c>
    </row>
    <row r="8" ht="63.75" customHeight="1">
      <c r="B8" s="6" t="s">
        <v>12</v>
      </c>
      <c r="C8" s="9" t="s">
        <v>13</v>
      </c>
      <c r="D8" s="10" t="s">
        <v>14</v>
      </c>
    </row>
    <row r="9" ht="63.75" customHeight="1">
      <c r="B9" s="6" t="s">
        <v>15</v>
      </c>
      <c r="C9" s="7" t="s">
        <v>16</v>
      </c>
      <c r="D9" s="8" t="s">
        <v>17</v>
      </c>
    </row>
    <row r="10" ht="63.75" customHeight="1">
      <c r="B10" s="6" t="s">
        <v>18</v>
      </c>
      <c r="C10" s="13" t="s">
        <v>19</v>
      </c>
      <c r="D10" s="14" t="s">
        <v>20</v>
      </c>
    </row>
    <row r="12" ht="27.75" customHeight="1">
      <c r="A12" s="15" t="s">
        <v>21</v>
      </c>
      <c r="B12" s="2"/>
      <c r="C12" s="2"/>
      <c r="D12" s="3"/>
    </row>
    <row r="13" ht="19.5" customHeight="1">
      <c r="B13" s="16" t="s">
        <v>22</v>
      </c>
      <c r="C13" s="17"/>
      <c r="D13" s="18"/>
    </row>
    <row r="14" ht="19.5" customHeight="1">
      <c r="B14" s="19" t="s">
        <v>23</v>
      </c>
      <c r="C14" s="20" t="s">
        <v>24</v>
      </c>
      <c r="D14" s="18"/>
    </row>
    <row r="15" ht="19.5" customHeight="1">
      <c r="B15" s="21" t="s">
        <v>25</v>
      </c>
      <c r="C15" s="22" t="s">
        <v>26</v>
      </c>
      <c r="D15" s="18"/>
    </row>
    <row r="16" ht="67.5" customHeight="1">
      <c r="B16" s="23" t="s">
        <v>27</v>
      </c>
      <c r="C16" s="24"/>
      <c r="D16" s="18"/>
    </row>
    <row r="17" ht="19.5" customHeight="1">
      <c r="B17" s="19" t="s">
        <v>28</v>
      </c>
      <c r="C17" s="20" t="s">
        <v>29</v>
      </c>
      <c r="D17" s="18"/>
    </row>
    <row r="18" ht="19.5" customHeight="1">
      <c r="B18" s="21" t="s">
        <v>30</v>
      </c>
      <c r="C18" s="22" t="s">
        <v>31</v>
      </c>
      <c r="D18" s="18"/>
    </row>
    <row r="19" ht="19.5" customHeight="1">
      <c r="B19" s="19" t="s">
        <v>32</v>
      </c>
      <c r="C19" s="20" t="s">
        <v>33</v>
      </c>
      <c r="D19" s="18"/>
    </row>
    <row r="20" ht="62.25" customHeight="1">
      <c r="B20" s="23" t="s">
        <v>34</v>
      </c>
      <c r="C20" s="24" t="s">
        <v>35</v>
      </c>
      <c r="D20" s="18"/>
    </row>
    <row r="21" ht="19.5" customHeight="1">
      <c r="B21" s="16" t="s">
        <v>36</v>
      </c>
      <c r="C21" s="17"/>
      <c r="D21" s="18"/>
    </row>
    <row r="22" ht="19.5" customHeight="1">
      <c r="B22" s="19" t="s">
        <v>37</v>
      </c>
      <c r="C22" s="20" t="s">
        <v>38</v>
      </c>
      <c r="D22" s="18"/>
    </row>
    <row r="23" ht="19.5" customHeight="1">
      <c r="B23" s="21" t="s">
        <v>39</v>
      </c>
      <c r="C23" s="22" t="s">
        <v>40</v>
      </c>
      <c r="D23" s="18"/>
    </row>
    <row r="24" ht="19.5" customHeight="1">
      <c r="B24" s="19" t="s">
        <v>41</v>
      </c>
      <c r="C24" s="20" t="s">
        <v>42</v>
      </c>
      <c r="D24" s="18"/>
    </row>
    <row r="25" ht="19.5" customHeight="1">
      <c r="B25" s="21" t="s">
        <v>43</v>
      </c>
      <c r="C25" s="22" t="s">
        <v>44</v>
      </c>
      <c r="D25" s="18"/>
    </row>
    <row r="26" ht="19.5" customHeight="1">
      <c r="B26" s="19" t="s">
        <v>45</v>
      </c>
      <c r="C26" s="20" t="s">
        <v>46</v>
      </c>
      <c r="D26" s="18"/>
    </row>
    <row r="27" ht="19.5" customHeight="1">
      <c r="B27" s="21" t="s">
        <v>47</v>
      </c>
      <c r="C27" s="22" t="s">
        <v>48</v>
      </c>
      <c r="D27" s="18"/>
    </row>
    <row r="28" ht="19.5" customHeight="1">
      <c r="B28" s="23" t="s">
        <v>49</v>
      </c>
      <c r="C28" s="24" t="s">
        <v>50</v>
      </c>
      <c r="D28" s="18"/>
    </row>
    <row r="29" ht="19.5" customHeight="1">
      <c r="B29" s="16" t="s">
        <v>51</v>
      </c>
      <c r="C29" s="17"/>
      <c r="D29" s="18"/>
    </row>
    <row r="30" ht="19.5" customHeight="1">
      <c r="B30" s="23" t="s">
        <v>52</v>
      </c>
      <c r="C30" s="24" t="s">
        <v>53</v>
      </c>
      <c r="D30" s="18"/>
    </row>
    <row r="31" ht="15.75" customHeight="1"/>
    <row r="32" ht="27.75" customHeight="1">
      <c r="A32" s="25" t="s">
        <v>54</v>
      </c>
      <c r="B32" s="2"/>
      <c r="C32" s="2"/>
      <c r="D32" s="3"/>
    </row>
    <row r="33" ht="19.5" customHeight="1">
      <c r="B33" s="26" t="s">
        <v>55</v>
      </c>
      <c r="C33" s="27" t="s">
        <v>56</v>
      </c>
      <c r="D33" s="18"/>
    </row>
    <row r="34" ht="19.5" customHeight="1">
      <c r="B34" s="28" t="s">
        <v>57</v>
      </c>
      <c r="C34" s="29" t="s">
        <v>58</v>
      </c>
      <c r="D34" s="18"/>
    </row>
    <row r="35" ht="19.5" customHeight="1">
      <c r="B35" s="30" t="s">
        <v>59</v>
      </c>
      <c r="C35" s="31" t="s">
        <v>60</v>
      </c>
      <c r="D35" s="18"/>
    </row>
    <row r="36" ht="19.5" customHeight="1">
      <c r="B36" s="32" t="s">
        <v>61</v>
      </c>
      <c r="C36" s="33" t="s">
        <v>62</v>
      </c>
      <c r="D36" s="18"/>
    </row>
    <row r="37" ht="19.5" customHeight="1">
      <c r="B37" s="34" t="s">
        <v>63</v>
      </c>
      <c r="C37" s="35" t="s">
        <v>64</v>
      </c>
      <c r="D37" s="18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D1"/>
    <mergeCell ref="A2:D2"/>
    <mergeCell ref="A4:D4"/>
    <mergeCell ref="A12:D12"/>
    <mergeCell ref="B13:D13"/>
    <mergeCell ref="C14:D14"/>
    <mergeCell ref="C15:D15"/>
    <mergeCell ref="C16:D16"/>
    <mergeCell ref="C17:D17"/>
    <mergeCell ref="C18:D18"/>
    <mergeCell ref="C19:D19"/>
    <mergeCell ref="C20:D20"/>
    <mergeCell ref="B21:D21"/>
    <mergeCell ref="C22:D22"/>
    <mergeCell ref="C30:D30"/>
    <mergeCell ref="A32:D32"/>
    <mergeCell ref="C33:D33"/>
    <mergeCell ref="C34:D34"/>
    <mergeCell ref="C35:D35"/>
    <mergeCell ref="C36:D36"/>
    <mergeCell ref="C37:D37"/>
    <mergeCell ref="C23:D23"/>
    <mergeCell ref="C24:D24"/>
    <mergeCell ref="C25:D25"/>
    <mergeCell ref="C26:D26"/>
    <mergeCell ref="C27:D27"/>
    <mergeCell ref="C28:D28"/>
    <mergeCell ref="B29:D2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8.0"/>
    <col customWidth="1" min="3" max="3" width="19.0"/>
    <col customWidth="1" min="4" max="4" width="4.0"/>
    <col customWidth="1" min="5" max="5" width="19.0"/>
    <col customWidth="1" min="6" max="6" width="28.0"/>
    <col customWidth="1" min="7" max="26" width="8.71"/>
  </cols>
  <sheetData>
    <row r="1" ht="36.0" customHeight="1">
      <c r="A1" s="36" t="s">
        <v>65</v>
      </c>
      <c r="B1" s="2"/>
      <c r="C1" s="2"/>
      <c r="D1" s="2"/>
      <c r="E1" s="2"/>
      <c r="F1" s="3"/>
    </row>
    <row r="2" ht="18.0" customHeight="1">
      <c r="A2" s="37" t="s">
        <v>66</v>
      </c>
      <c r="B2" s="2"/>
      <c r="C2" s="2"/>
      <c r="D2" s="2"/>
      <c r="E2" s="2"/>
      <c r="F2" s="3"/>
    </row>
    <row r="3" ht="19.5" customHeight="1">
      <c r="A3" s="38" t="s">
        <v>67</v>
      </c>
      <c r="B3" s="38" t="s">
        <v>68</v>
      </c>
      <c r="C3" s="38" t="s">
        <v>69</v>
      </c>
      <c r="D3" s="38" t="s">
        <v>70</v>
      </c>
      <c r="E3" s="38" t="s">
        <v>71</v>
      </c>
      <c r="F3" s="38" t="s">
        <v>72</v>
      </c>
    </row>
    <row r="4" ht="19.5" customHeight="1">
      <c r="A4" s="39" t="s">
        <v>73</v>
      </c>
      <c r="B4" s="17"/>
      <c r="C4" s="17"/>
      <c r="D4" s="17"/>
      <c r="E4" s="17"/>
      <c r="F4" s="18"/>
    </row>
    <row r="5" ht="18.0" customHeight="1">
      <c r="A5" s="40" t="s">
        <v>74</v>
      </c>
      <c r="B5" s="41" t="s">
        <v>75</v>
      </c>
      <c r="C5" s="42" t="s">
        <v>76</v>
      </c>
      <c r="D5" s="43" t="s">
        <v>77</v>
      </c>
      <c r="E5" s="44" t="s">
        <v>78</v>
      </c>
      <c r="F5" s="45" t="s">
        <v>79</v>
      </c>
    </row>
    <row r="6" ht="18.0" customHeight="1">
      <c r="A6" s="46" t="s">
        <v>80</v>
      </c>
      <c r="B6" s="47" t="s">
        <v>81</v>
      </c>
      <c r="C6" s="48" t="s">
        <v>82</v>
      </c>
      <c r="D6" s="49" t="s">
        <v>77</v>
      </c>
      <c r="E6" s="50" t="s">
        <v>83</v>
      </c>
      <c r="F6" s="51" t="s">
        <v>84</v>
      </c>
    </row>
    <row r="7" ht="18.0" customHeight="1">
      <c r="A7" s="40" t="s">
        <v>80</v>
      </c>
      <c r="B7" s="41" t="s">
        <v>75</v>
      </c>
      <c r="C7" s="42" t="s">
        <v>85</v>
      </c>
      <c r="D7" s="43" t="s">
        <v>77</v>
      </c>
      <c r="E7" s="44" t="s">
        <v>86</v>
      </c>
      <c r="F7" s="45" t="s">
        <v>87</v>
      </c>
    </row>
    <row r="8" ht="18.0" customHeight="1">
      <c r="A8" s="46" t="s">
        <v>88</v>
      </c>
      <c r="B8" s="47" t="s">
        <v>89</v>
      </c>
      <c r="C8" s="48" t="s">
        <v>90</v>
      </c>
      <c r="D8" s="49" t="s">
        <v>77</v>
      </c>
      <c r="E8" s="50" t="s">
        <v>91</v>
      </c>
      <c r="F8" s="51" t="s">
        <v>92</v>
      </c>
    </row>
    <row r="9" ht="18.0" customHeight="1">
      <c r="A9" s="40" t="s">
        <v>88</v>
      </c>
      <c r="B9" s="52" t="s">
        <v>93</v>
      </c>
      <c r="C9" s="42" t="s">
        <v>94</v>
      </c>
      <c r="D9" s="43" t="s">
        <v>77</v>
      </c>
      <c r="E9" s="44" t="s">
        <v>95</v>
      </c>
      <c r="F9" s="45" t="s">
        <v>96</v>
      </c>
    </row>
    <row r="10" ht="18.0" customHeight="1">
      <c r="A10" s="46" t="s">
        <v>88</v>
      </c>
      <c r="B10" s="53" t="s">
        <v>75</v>
      </c>
      <c r="C10" s="48" t="s">
        <v>97</v>
      </c>
      <c r="D10" s="49" t="s">
        <v>77</v>
      </c>
      <c r="E10" s="50" t="s">
        <v>98</v>
      </c>
      <c r="F10" s="51" t="s">
        <v>99</v>
      </c>
    </row>
    <row r="11" ht="18.0" customHeight="1">
      <c r="A11" s="40" t="s">
        <v>100</v>
      </c>
      <c r="B11" s="52" t="s">
        <v>101</v>
      </c>
      <c r="C11" s="42" t="s">
        <v>102</v>
      </c>
      <c r="D11" s="43" t="s">
        <v>77</v>
      </c>
      <c r="E11" s="44" t="s">
        <v>103</v>
      </c>
      <c r="F11" s="45" t="s">
        <v>104</v>
      </c>
    </row>
    <row r="12" ht="18.0" customHeight="1">
      <c r="A12" s="46" t="s">
        <v>100</v>
      </c>
      <c r="B12" s="47" t="s">
        <v>89</v>
      </c>
      <c r="C12" s="48" t="s">
        <v>105</v>
      </c>
      <c r="D12" s="49" t="s">
        <v>77</v>
      </c>
      <c r="E12" s="50" t="s">
        <v>106</v>
      </c>
      <c r="F12" s="51" t="s">
        <v>107</v>
      </c>
    </row>
    <row r="13" ht="18.0" customHeight="1">
      <c r="A13" s="40" t="s">
        <v>100</v>
      </c>
      <c r="B13" s="41" t="s">
        <v>108</v>
      </c>
      <c r="C13" s="42" t="s">
        <v>109</v>
      </c>
      <c r="D13" s="43" t="s">
        <v>77</v>
      </c>
      <c r="E13" s="44" t="s">
        <v>110</v>
      </c>
      <c r="F13" s="45" t="s">
        <v>111</v>
      </c>
    </row>
    <row r="14" ht="18.0" customHeight="1">
      <c r="A14" s="46" t="s">
        <v>100</v>
      </c>
      <c r="B14" s="53" t="s">
        <v>112</v>
      </c>
      <c r="C14" s="48" t="s">
        <v>113</v>
      </c>
      <c r="D14" s="49" t="s">
        <v>77</v>
      </c>
      <c r="E14" s="50" t="s">
        <v>114</v>
      </c>
      <c r="F14" s="51" t="s">
        <v>115</v>
      </c>
    </row>
    <row r="15" ht="18.0" customHeight="1">
      <c r="A15" s="40" t="s">
        <v>116</v>
      </c>
      <c r="B15" s="52" t="s">
        <v>117</v>
      </c>
      <c r="C15" s="42" t="s">
        <v>118</v>
      </c>
      <c r="D15" s="43" t="s">
        <v>77</v>
      </c>
      <c r="E15" s="44" t="s">
        <v>119</v>
      </c>
      <c r="F15" s="45" t="s">
        <v>120</v>
      </c>
    </row>
    <row r="16" ht="18.0" customHeight="1">
      <c r="A16" s="46" t="s">
        <v>116</v>
      </c>
      <c r="B16" s="47" t="s">
        <v>81</v>
      </c>
      <c r="C16" s="48" t="s">
        <v>121</v>
      </c>
      <c r="D16" s="49" t="s">
        <v>77</v>
      </c>
      <c r="E16" s="50" t="s">
        <v>122</v>
      </c>
      <c r="F16" s="51" t="s">
        <v>123</v>
      </c>
    </row>
    <row r="17" ht="18.0" customHeight="1">
      <c r="A17" s="54" t="s">
        <v>116</v>
      </c>
      <c r="B17" s="55" t="s">
        <v>124</v>
      </c>
      <c r="C17" s="56" t="s">
        <v>125</v>
      </c>
      <c r="D17" s="57" t="s">
        <v>77</v>
      </c>
      <c r="E17" s="58" t="s">
        <v>126</v>
      </c>
      <c r="F17" s="59" t="s">
        <v>127</v>
      </c>
    </row>
    <row r="18" ht="18.0" customHeight="1">
      <c r="A18" s="46" t="s">
        <v>116</v>
      </c>
      <c r="B18" s="53" t="s">
        <v>75</v>
      </c>
      <c r="C18" s="48" t="s">
        <v>128</v>
      </c>
      <c r="D18" s="49" t="s">
        <v>77</v>
      </c>
      <c r="E18" s="50" t="s">
        <v>129</v>
      </c>
      <c r="F18" s="51" t="s">
        <v>130</v>
      </c>
    </row>
    <row r="19" ht="18.0" customHeight="1">
      <c r="A19" s="40" t="s">
        <v>131</v>
      </c>
      <c r="B19" s="52" t="s">
        <v>101</v>
      </c>
      <c r="C19" s="42" t="s">
        <v>132</v>
      </c>
      <c r="D19" s="43" t="s">
        <v>77</v>
      </c>
      <c r="E19" s="44" t="s">
        <v>133</v>
      </c>
      <c r="F19" s="45" t="s">
        <v>130</v>
      </c>
    </row>
    <row r="20" ht="18.0" customHeight="1">
      <c r="A20" s="46" t="s">
        <v>131</v>
      </c>
      <c r="B20" s="47" t="s">
        <v>89</v>
      </c>
      <c r="C20" s="48" t="s">
        <v>134</v>
      </c>
      <c r="D20" s="49" t="s">
        <v>77</v>
      </c>
      <c r="E20" s="50" t="s">
        <v>135</v>
      </c>
      <c r="F20" s="51" t="s">
        <v>136</v>
      </c>
    </row>
    <row r="21" ht="18.0" customHeight="1">
      <c r="A21" s="40" t="s">
        <v>131</v>
      </c>
      <c r="B21" s="52" t="s">
        <v>93</v>
      </c>
      <c r="C21" s="42" t="s">
        <v>137</v>
      </c>
      <c r="D21" s="43" t="s">
        <v>77</v>
      </c>
      <c r="E21" s="44" t="s">
        <v>138</v>
      </c>
      <c r="F21" s="45" t="s">
        <v>139</v>
      </c>
    </row>
    <row r="22" ht="18.0" customHeight="1">
      <c r="A22" s="46" t="s">
        <v>131</v>
      </c>
      <c r="B22" s="53" t="s">
        <v>75</v>
      </c>
      <c r="C22" s="48" t="s">
        <v>140</v>
      </c>
      <c r="D22" s="49" t="s">
        <v>77</v>
      </c>
      <c r="E22" s="50" t="s">
        <v>141</v>
      </c>
      <c r="F22" s="51" t="s">
        <v>104</v>
      </c>
    </row>
    <row r="23" ht="18.0" customHeight="1">
      <c r="A23" s="40" t="s">
        <v>142</v>
      </c>
      <c r="B23" s="52" t="s">
        <v>101</v>
      </c>
      <c r="C23" s="42" t="s">
        <v>143</v>
      </c>
      <c r="D23" s="43" t="s">
        <v>77</v>
      </c>
      <c r="E23" s="44" t="s">
        <v>144</v>
      </c>
      <c r="F23" s="45" t="s">
        <v>107</v>
      </c>
    </row>
    <row r="24" ht="18.0" customHeight="1">
      <c r="A24" s="46" t="s">
        <v>142</v>
      </c>
      <c r="B24" s="47" t="s">
        <v>89</v>
      </c>
      <c r="C24" s="48" t="s">
        <v>145</v>
      </c>
      <c r="D24" s="49" t="s">
        <v>77</v>
      </c>
      <c r="E24" s="50" t="s">
        <v>146</v>
      </c>
      <c r="F24" s="51" t="s">
        <v>139</v>
      </c>
    </row>
    <row r="25" ht="18.0" customHeight="1">
      <c r="A25" s="40" t="s">
        <v>142</v>
      </c>
      <c r="B25" s="41" t="s">
        <v>108</v>
      </c>
      <c r="C25" s="42" t="s">
        <v>147</v>
      </c>
      <c r="D25" s="43" t="s">
        <v>77</v>
      </c>
      <c r="E25" s="44" t="s">
        <v>148</v>
      </c>
      <c r="F25" s="45" t="s">
        <v>92</v>
      </c>
    </row>
    <row r="26" ht="18.0" customHeight="1">
      <c r="A26" s="46" t="s">
        <v>142</v>
      </c>
      <c r="B26" s="53" t="s">
        <v>112</v>
      </c>
      <c r="C26" s="48" t="s">
        <v>149</v>
      </c>
      <c r="D26" s="49" t="s">
        <v>77</v>
      </c>
      <c r="E26" s="50" t="s">
        <v>150</v>
      </c>
      <c r="F26" s="51" t="s">
        <v>115</v>
      </c>
    </row>
    <row r="27" ht="18.0" customHeight="1">
      <c r="A27" s="40" t="s">
        <v>151</v>
      </c>
      <c r="B27" s="52" t="s">
        <v>117</v>
      </c>
      <c r="C27" s="42" t="s">
        <v>152</v>
      </c>
      <c r="D27" s="43" t="s">
        <v>77</v>
      </c>
      <c r="E27" s="44" t="s">
        <v>153</v>
      </c>
      <c r="F27" s="45" t="s">
        <v>120</v>
      </c>
    </row>
    <row r="28" ht="18.0" customHeight="1">
      <c r="A28" s="46" t="s">
        <v>151</v>
      </c>
      <c r="B28" s="47" t="s">
        <v>81</v>
      </c>
      <c r="C28" s="48" t="s">
        <v>154</v>
      </c>
      <c r="D28" s="49" t="s">
        <v>77</v>
      </c>
      <c r="E28" s="50" t="s">
        <v>155</v>
      </c>
      <c r="F28" s="51" t="s">
        <v>99</v>
      </c>
    </row>
    <row r="29" ht="19.5" customHeight="1">
      <c r="A29" s="39" t="s">
        <v>156</v>
      </c>
      <c r="B29" s="17"/>
      <c r="C29" s="17"/>
      <c r="D29" s="17"/>
      <c r="E29" s="17"/>
      <c r="F29" s="18"/>
    </row>
    <row r="30" ht="18.0" customHeight="1">
      <c r="A30" s="46" t="s">
        <v>151</v>
      </c>
      <c r="B30" s="53" t="s">
        <v>124</v>
      </c>
      <c r="C30" s="48" t="s">
        <v>83</v>
      </c>
      <c r="D30" s="49" t="s">
        <v>77</v>
      </c>
      <c r="E30" s="50" t="s">
        <v>78</v>
      </c>
      <c r="F30" s="51" t="s">
        <v>84</v>
      </c>
    </row>
    <row r="31" ht="18.0" customHeight="1">
      <c r="A31" s="40" t="s">
        <v>151</v>
      </c>
      <c r="B31" s="41" t="s">
        <v>75</v>
      </c>
      <c r="C31" s="42" t="s">
        <v>98</v>
      </c>
      <c r="D31" s="43" t="s">
        <v>77</v>
      </c>
      <c r="E31" s="44" t="s">
        <v>86</v>
      </c>
      <c r="F31" s="45" t="s">
        <v>123</v>
      </c>
    </row>
    <row r="32" ht="18.0" customHeight="1">
      <c r="A32" s="46" t="s">
        <v>157</v>
      </c>
      <c r="B32" s="47" t="s">
        <v>101</v>
      </c>
      <c r="C32" s="48" t="s">
        <v>85</v>
      </c>
      <c r="D32" s="49" t="s">
        <v>77</v>
      </c>
      <c r="E32" s="50" t="s">
        <v>97</v>
      </c>
      <c r="F32" s="51" t="s">
        <v>87</v>
      </c>
    </row>
    <row r="33" ht="18.0" customHeight="1">
      <c r="A33" s="40" t="s">
        <v>157</v>
      </c>
      <c r="B33" s="52" t="s">
        <v>89</v>
      </c>
      <c r="C33" s="42" t="s">
        <v>76</v>
      </c>
      <c r="D33" s="43" t="s">
        <v>77</v>
      </c>
      <c r="E33" s="44" t="s">
        <v>82</v>
      </c>
      <c r="F33" s="45" t="s">
        <v>79</v>
      </c>
    </row>
    <row r="34" ht="18.0" customHeight="1">
      <c r="A34" s="46" t="s">
        <v>157</v>
      </c>
      <c r="B34" s="47" t="s">
        <v>93</v>
      </c>
      <c r="C34" s="48" t="s">
        <v>95</v>
      </c>
      <c r="D34" s="49" t="s">
        <v>77</v>
      </c>
      <c r="E34" s="50" t="s">
        <v>91</v>
      </c>
      <c r="F34" s="51" t="s">
        <v>96</v>
      </c>
    </row>
    <row r="35" ht="18.0" customHeight="1">
      <c r="A35" s="40" t="s">
        <v>157</v>
      </c>
      <c r="B35" s="41" t="s">
        <v>75</v>
      </c>
      <c r="C35" s="42" t="s">
        <v>90</v>
      </c>
      <c r="D35" s="43" t="s">
        <v>77</v>
      </c>
      <c r="E35" s="44" t="s">
        <v>94</v>
      </c>
      <c r="F35" s="45" t="s">
        <v>92</v>
      </c>
    </row>
    <row r="36" ht="18.0" customHeight="1">
      <c r="A36" s="46" t="s">
        <v>158</v>
      </c>
      <c r="B36" s="47" t="s">
        <v>101</v>
      </c>
      <c r="C36" s="48" t="s">
        <v>106</v>
      </c>
      <c r="D36" s="49" t="s">
        <v>77</v>
      </c>
      <c r="E36" s="50" t="s">
        <v>103</v>
      </c>
      <c r="F36" s="51" t="s">
        <v>107</v>
      </c>
    </row>
    <row r="37" ht="18.0" customHeight="1">
      <c r="A37" s="40" t="s">
        <v>158</v>
      </c>
      <c r="B37" s="52" t="s">
        <v>89</v>
      </c>
      <c r="C37" s="42" t="s">
        <v>102</v>
      </c>
      <c r="D37" s="43" t="s">
        <v>77</v>
      </c>
      <c r="E37" s="44" t="s">
        <v>105</v>
      </c>
      <c r="F37" s="45" t="s">
        <v>104</v>
      </c>
    </row>
    <row r="38" ht="18.0" customHeight="1">
      <c r="A38" s="46" t="s">
        <v>158</v>
      </c>
      <c r="B38" s="47" t="s">
        <v>93</v>
      </c>
      <c r="C38" s="48" t="s">
        <v>121</v>
      </c>
      <c r="D38" s="49" t="s">
        <v>77</v>
      </c>
      <c r="E38" s="50" t="s">
        <v>114</v>
      </c>
      <c r="F38" s="51" t="s">
        <v>123</v>
      </c>
    </row>
    <row r="39" ht="18.0" customHeight="1">
      <c r="A39" s="40" t="s">
        <v>158</v>
      </c>
      <c r="B39" s="41" t="s">
        <v>108</v>
      </c>
      <c r="C39" s="42" t="s">
        <v>113</v>
      </c>
      <c r="D39" s="43" t="s">
        <v>77</v>
      </c>
      <c r="E39" s="44" t="s">
        <v>122</v>
      </c>
      <c r="F39" s="45" t="s">
        <v>115</v>
      </c>
    </row>
    <row r="40" ht="18.0" customHeight="1">
      <c r="A40" s="46" t="s">
        <v>158</v>
      </c>
      <c r="B40" s="53" t="s">
        <v>112</v>
      </c>
      <c r="C40" s="48" t="s">
        <v>109</v>
      </c>
      <c r="D40" s="49" t="s">
        <v>77</v>
      </c>
      <c r="E40" s="50" t="s">
        <v>118</v>
      </c>
      <c r="F40" s="51" t="s">
        <v>111</v>
      </c>
    </row>
    <row r="41" ht="18.0" customHeight="1">
      <c r="A41" s="40" t="s">
        <v>159</v>
      </c>
      <c r="B41" s="52" t="s">
        <v>160</v>
      </c>
      <c r="C41" s="42" t="s">
        <v>119</v>
      </c>
      <c r="D41" s="43" t="s">
        <v>77</v>
      </c>
      <c r="E41" s="44" t="s">
        <v>110</v>
      </c>
      <c r="F41" s="45" t="s">
        <v>120</v>
      </c>
    </row>
    <row r="42" ht="18.0" customHeight="1">
      <c r="A42" s="54" t="s">
        <v>159</v>
      </c>
      <c r="B42" s="55" t="s">
        <v>124</v>
      </c>
      <c r="C42" s="56" t="s">
        <v>125</v>
      </c>
      <c r="D42" s="57" t="s">
        <v>77</v>
      </c>
      <c r="E42" s="58" t="s">
        <v>161</v>
      </c>
      <c r="F42" s="59" t="s">
        <v>127</v>
      </c>
    </row>
    <row r="43" ht="18.0" customHeight="1">
      <c r="A43" s="40" t="s">
        <v>159</v>
      </c>
      <c r="B43" s="41" t="s">
        <v>75</v>
      </c>
      <c r="C43" s="42" t="s">
        <v>128</v>
      </c>
      <c r="D43" s="43" t="s">
        <v>77</v>
      </c>
      <c r="E43" s="44" t="s">
        <v>134</v>
      </c>
      <c r="F43" s="45" t="s">
        <v>136</v>
      </c>
    </row>
    <row r="44" ht="18.0" customHeight="1">
      <c r="A44" s="46" t="s">
        <v>162</v>
      </c>
      <c r="B44" s="47" t="s">
        <v>101</v>
      </c>
      <c r="C44" s="48" t="s">
        <v>133</v>
      </c>
      <c r="D44" s="49" t="s">
        <v>77</v>
      </c>
      <c r="E44" s="50" t="s">
        <v>163</v>
      </c>
      <c r="F44" s="51" t="s">
        <v>130</v>
      </c>
    </row>
    <row r="45" ht="18.0" customHeight="1">
      <c r="A45" s="40" t="s">
        <v>162</v>
      </c>
      <c r="B45" s="52" t="s">
        <v>89</v>
      </c>
      <c r="C45" s="42" t="s">
        <v>135</v>
      </c>
      <c r="D45" s="43" t="s">
        <v>77</v>
      </c>
      <c r="E45" s="44" t="s">
        <v>129</v>
      </c>
      <c r="F45" s="45" t="s">
        <v>136</v>
      </c>
    </row>
    <row r="46" ht="18.0" customHeight="1">
      <c r="A46" s="46" t="s">
        <v>162</v>
      </c>
      <c r="B46" s="53" t="s">
        <v>108</v>
      </c>
      <c r="C46" s="48" t="s">
        <v>145</v>
      </c>
      <c r="D46" s="49" t="s">
        <v>77</v>
      </c>
      <c r="E46" s="50" t="s">
        <v>137</v>
      </c>
      <c r="F46" s="51" t="s">
        <v>139</v>
      </c>
    </row>
    <row r="47" ht="18.0" customHeight="1">
      <c r="A47" s="40" t="s">
        <v>162</v>
      </c>
      <c r="B47" s="41" t="s">
        <v>164</v>
      </c>
      <c r="C47" s="42" t="s">
        <v>140</v>
      </c>
      <c r="D47" s="43" t="s">
        <v>77</v>
      </c>
      <c r="E47" s="44" t="s">
        <v>143</v>
      </c>
      <c r="F47" s="45" t="s">
        <v>104</v>
      </c>
    </row>
    <row r="48" ht="18.0" customHeight="1">
      <c r="A48" s="46" t="s">
        <v>165</v>
      </c>
      <c r="B48" s="47" t="s">
        <v>160</v>
      </c>
      <c r="C48" s="48" t="s">
        <v>144</v>
      </c>
      <c r="D48" s="49" t="s">
        <v>77</v>
      </c>
      <c r="E48" s="50" t="s">
        <v>141</v>
      </c>
      <c r="F48" s="51" t="s">
        <v>107</v>
      </c>
    </row>
    <row r="49" ht="18.0" customHeight="1">
      <c r="A49" s="40" t="s">
        <v>165</v>
      </c>
      <c r="B49" s="52" t="s">
        <v>166</v>
      </c>
      <c r="C49" s="42" t="s">
        <v>138</v>
      </c>
      <c r="D49" s="43" t="s">
        <v>77</v>
      </c>
      <c r="E49" s="44" t="s">
        <v>146</v>
      </c>
      <c r="F49" s="45" t="s">
        <v>111</v>
      </c>
    </row>
    <row r="50" ht="18.0" customHeight="1">
      <c r="A50" s="46" t="s">
        <v>165</v>
      </c>
      <c r="B50" s="53" t="s">
        <v>108</v>
      </c>
      <c r="C50" s="48" t="s">
        <v>147</v>
      </c>
      <c r="D50" s="49" t="s">
        <v>77</v>
      </c>
      <c r="E50" s="50" t="s">
        <v>154</v>
      </c>
      <c r="F50" s="51" t="s">
        <v>92</v>
      </c>
    </row>
    <row r="51" ht="18.0" customHeight="1">
      <c r="A51" s="40" t="s">
        <v>165</v>
      </c>
      <c r="B51" s="41" t="s">
        <v>112</v>
      </c>
      <c r="C51" s="42" t="s">
        <v>149</v>
      </c>
      <c r="D51" s="43" t="s">
        <v>77</v>
      </c>
      <c r="E51" s="44" t="s">
        <v>152</v>
      </c>
      <c r="F51" s="45" t="s">
        <v>115</v>
      </c>
    </row>
    <row r="52" ht="18.0" customHeight="1">
      <c r="A52" s="46" t="s">
        <v>167</v>
      </c>
      <c r="B52" s="47" t="s">
        <v>117</v>
      </c>
      <c r="C52" s="48" t="s">
        <v>153</v>
      </c>
      <c r="D52" s="49" t="s">
        <v>77</v>
      </c>
      <c r="E52" s="50" t="s">
        <v>150</v>
      </c>
      <c r="F52" s="51" t="s">
        <v>120</v>
      </c>
    </row>
    <row r="53" ht="18.0" customHeight="1">
      <c r="A53" s="40" t="s">
        <v>167</v>
      </c>
      <c r="B53" s="52" t="s">
        <v>81</v>
      </c>
      <c r="C53" s="42" t="s">
        <v>155</v>
      </c>
      <c r="D53" s="43" t="s">
        <v>77</v>
      </c>
      <c r="E53" s="44" t="s">
        <v>148</v>
      </c>
      <c r="F53" s="45" t="s">
        <v>99</v>
      </c>
    </row>
    <row r="54" ht="19.5" customHeight="1">
      <c r="A54" s="60" t="s">
        <v>168</v>
      </c>
      <c r="B54" s="17"/>
      <c r="C54" s="17"/>
      <c r="D54" s="17"/>
      <c r="E54" s="17"/>
      <c r="F54" s="18"/>
    </row>
    <row r="55" ht="18.0" customHeight="1">
      <c r="A55" s="40" t="s">
        <v>167</v>
      </c>
      <c r="B55" s="41" t="s">
        <v>75</v>
      </c>
      <c r="C55" s="42" t="s">
        <v>86</v>
      </c>
      <c r="D55" s="43" t="s">
        <v>77</v>
      </c>
      <c r="E55" s="44" t="s">
        <v>97</v>
      </c>
      <c r="F55" s="45" t="s">
        <v>123</v>
      </c>
    </row>
    <row r="56" ht="18.0" customHeight="1">
      <c r="A56" s="46" t="s">
        <v>167</v>
      </c>
      <c r="B56" s="53" t="s">
        <v>75</v>
      </c>
      <c r="C56" s="48" t="s">
        <v>98</v>
      </c>
      <c r="D56" s="49" t="s">
        <v>77</v>
      </c>
      <c r="E56" s="50" t="s">
        <v>85</v>
      </c>
      <c r="F56" s="51" t="s">
        <v>87</v>
      </c>
    </row>
    <row r="57" ht="18.0" customHeight="1">
      <c r="A57" s="40" t="s">
        <v>169</v>
      </c>
      <c r="B57" s="52" t="s">
        <v>101</v>
      </c>
      <c r="C57" s="42" t="s">
        <v>103</v>
      </c>
      <c r="D57" s="43" t="s">
        <v>77</v>
      </c>
      <c r="E57" s="44" t="s">
        <v>105</v>
      </c>
      <c r="F57" s="45" t="s">
        <v>104</v>
      </c>
    </row>
    <row r="58" ht="18.0" customHeight="1">
      <c r="A58" s="46" t="s">
        <v>169</v>
      </c>
      <c r="B58" s="47" t="s">
        <v>101</v>
      </c>
      <c r="C58" s="48" t="s">
        <v>106</v>
      </c>
      <c r="D58" s="49" t="s">
        <v>77</v>
      </c>
      <c r="E58" s="50" t="s">
        <v>102</v>
      </c>
      <c r="F58" s="51" t="s">
        <v>107</v>
      </c>
    </row>
    <row r="59" ht="18.0" customHeight="1">
      <c r="A59" s="40" t="s">
        <v>169</v>
      </c>
      <c r="B59" s="52" t="s">
        <v>89</v>
      </c>
      <c r="C59" s="42" t="s">
        <v>83</v>
      </c>
      <c r="D59" s="43" t="s">
        <v>77</v>
      </c>
      <c r="E59" s="44" t="s">
        <v>76</v>
      </c>
      <c r="F59" s="45" t="s">
        <v>84</v>
      </c>
    </row>
    <row r="60" ht="18.0" customHeight="1">
      <c r="A60" s="46" t="s">
        <v>169</v>
      </c>
      <c r="B60" s="47" t="s">
        <v>89</v>
      </c>
      <c r="C60" s="48" t="s">
        <v>78</v>
      </c>
      <c r="D60" s="49" t="s">
        <v>77</v>
      </c>
      <c r="E60" s="50" t="s">
        <v>82</v>
      </c>
      <c r="F60" s="51" t="s">
        <v>111</v>
      </c>
    </row>
    <row r="61" ht="18.0" customHeight="1">
      <c r="A61" s="40" t="s">
        <v>169</v>
      </c>
      <c r="B61" s="41" t="s">
        <v>112</v>
      </c>
      <c r="C61" s="42" t="s">
        <v>110</v>
      </c>
      <c r="D61" s="43" t="s">
        <v>77</v>
      </c>
      <c r="E61" s="44" t="s">
        <v>118</v>
      </c>
      <c r="F61" s="45" t="s">
        <v>120</v>
      </c>
    </row>
    <row r="62" ht="18.0" customHeight="1">
      <c r="A62" s="46" t="s">
        <v>169</v>
      </c>
      <c r="B62" s="53" t="s">
        <v>112</v>
      </c>
      <c r="C62" s="48" t="s">
        <v>119</v>
      </c>
      <c r="D62" s="49" t="s">
        <v>77</v>
      </c>
      <c r="E62" s="50" t="s">
        <v>109</v>
      </c>
      <c r="F62" s="51" t="s">
        <v>115</v>
      </c>
    </row>
    <row r="63" ht="18.0" customHeight="1">
      <c r="A63" s="40" t="s">
        <v>170</v>
      </c>
      <c r="B63" s="52" t="s">
        <v>117</v>
      </c>
      <c r="C63" s="42" t="s">
        <v>121</v>
      </c>
      <c r="D63" s="43" t="s">
        <v>77</v>
      </c>
      <c r="E63" s="44" t="s">
        <v>113</v>
      </c>
      <c r="F63" s="45" t="s">
        <v>123</v>
      </c>
    </row>
    <row r="64" ht="18.0" customHeight="1">
      <c r="A64" s="46" t="s">
        <v>170</v>
      </c>
      <c r="B64" s="47" t="s">
        <v>117</v>
      </c>
      <c r="C64" s="48" t="s">
        <v>114</v>
      </c>
      <c r="D64" s="49" t="s">
        <v>77</v>
      </c>
      <c r="E64" s="50" t="s">
        <v>122</v>
      </c>
      <c r="F64" s="51" t="s">
        <v>92</v>
      </c>
    </row>
    <row r="65" ht="18.0" customHeight="1">
      <c r="A65" s="40" t="s">
        <v>170</v>
      </c>
      <c r="B65" s="52" t="s">
        <v>81</v>
      </c>
      <c r="C65" s="42" t="s">
        <v>95</v>
      </c>
      <c r="D65" s="43" t="s">
        <v>77</v>
      </c>
      <c r="E65" s="44" t="s">
        <v>90</v>
      </c>
      <c r="F65" s="45" t="s">
        <v>96</v>
      </c>
    </row>
    <row r="66" ht="18.0" customHeight="1">
      <c r="A66" s="46" t="s">
        <v>170</v>
      </c>
      <c r="B66" s="47" t="s">
        <v>81</v>
      </c>
      <c r="C66" s="48" t="s">
        <v>91</v>
      </c>
      <c r="D66" s="49" t="s">
        <v>77</v>
      </c>
      <c r="E66" s="50" t="s">
        <v>94</v>
      </c>
      <c r="F66" s="51" t="s">
        <v>99</v>
      </c>
    </row>
    <row r="67" ht="18.0" customHeight="1">
      <c r="A67" s="40" t="s">
        <v>170</v>
      </c>
      <c r="B67" s="41" t="s">
        <v>75</v>
      </c>
      <c r="C67" s="42" t="s">
        <v>144</v>
      </c>
      <c r="D67" s="43" t="s">
        <v>77</v>
      </c>
      <c r="E67" s="44" t="s">
        <v>140</v>
      </c>
      <c r="F67" s="45" t="s">
        <v>107</v>
      </c>
    </row>
    <row r="68" ht="18.0" customHeight="1">
      <c r="A68" s="46" t="s">
        <v>170</v>
      </c>
      <c r="B68" s="53" t="s">
        <v>75</v>
      </c>
      <c r="C68" s="48" t="s">
        <v>141</v>
      </c>
      <c r="D68" s="49" t="s">
        <v>77</v>
      </c>
      <c r="E68" s="50" t="s">
        <v>143</v>
      </c>
      <c r="F68" s="51" t="s">
        <v>139</v>
      </c>
    </row>
    <row r="69" ht="18.0" customHeight="1">
      <c r="A69" s="40" t="s">
        <v>171</v>
      </c>
      <c r="B69" s="52" t="s">
        <v>160</v>
      </c>
      <c r="C69" s="42" t="s">
        <v>163</v>
      </c>
      <c r="D69" s="43" t="s">
        <v>77</v>
      </c>
      <c r="E69" s="44" t="s">
        <v>132</v>
      </c>
      <c r="F69" s="45" t="s">
        <v>130</v>
      </c>
    </row>
    <row r="70" ht="18.0" customHeight="1">
      <c r="A70" s="54" t="s">
        <v>171</v>
      </c>
      <c r="B70" s="61" t="s">
        <v>160</v>
      </c>
      <c r="C70" s="56" t="s">
        <v>172</v>
      </c>
      <c r="D70" s="57" t="s">
        <v>77</v>
      </c>
      <c r="E70" s="58" t="s">
        <v>125</v>
      </c>
      <c r="F70" s="59" t="s">
        <v>173</v>
      </c>
    </row>
    <row r="71" ht="18.0" customHeight="1">
      <c r="A71" s="40" t="s">
        <v>171</v>
      </c>
      <c r="B71" s="52" t="s">
        <v>166</v>
      </c>
      <c r="C71" s="42" t="s">
        <v>135</v>
      </c>
      <c r="D71" s="43" t="s">
        <v>77</v>
      </c>
      <c r="E71" s="44" t="s">
        <v>128</v>
      </c>
      <c r="F71" s="45" t="s">
        <v>136</v>
      </c>
    </row>
    <row r="72" ht="18.0" customHeight="1">
      <c r="A72" s="46" t="s">
        <v>171</v>
      </c>
      <c r="B72" s="47" t="s">
        <v>166</v>
      </c>
      <c r="C72" s="48" t="s">
        <v>129</v>
      </c>
      <c r="D72" s="49" t="s">
        <v>77</v>
      </c>
      <c r="E72" s="50" t="s">
        <v>134</v>
      </c>
      <c r="F72" s="51" t="s">
        <v>136</v>
      </c>
    </row>
    <row r="73" ht="18.0" customHeight="1">
      <c r="A73" s="40" t="s">
        <v>171</v>
      </c>
      <c r="B73" s="41" t="s">
        <v>164</v>
      </c>
      <c r="C73" s="42" t="s">
        <v>153</v>
      </c>
      <c r="D73" s="43" t="s">
        <v>77</v>
      </c>
      <c r="E73" s="44" t="s">
        <v>149</v>
      </c>
      <c r="F73" s="45" t="s">
        <v>120</v>
      </c>
    </row>
    <row r="74" ht="18.0" customHeight="1">
      <c r="A74" s="46" t="s">
        <v>171</v>
      </c>
      <c r="B74" s="53" t="s">
        <v>164</v>
      </c>
      <c r="C74" s="48" t="s">
        <v>150</v>
      </c>
      <c r="D74" s="49" t="s">
        <v>77</v>
      </c>
      <c r="E74" s="50" t="s">
        <v>152</v>
      </c>
      <c r="F74" s="51" t="s">
        <v>115</v>
      </c>
    </row>
    <row r="75" ht="18.0" customHeight="1">
      <c r="A75" s="40" t="s">
        <v>174</v>
      </c>
      <c r="B75" s="52" t="s">
        <v>175</v>
      </c>
      <c r="C75" s="42" t="s">
        <v>155</v>
      </c>
      <c r="D75" s="43" t="s">
        <v>77</v>
      </c>
      <c r="E75" s="44" t="s">
        <v>147</v>
      </c>
      <c r="F75" s="45" t="s">
        <v>92</v>
      </c>
    </row>
    <row r="76" ht="18.0" customHeight="1">
      <c r="A76" s="46" t="s">
        <v>174</v>
      </c>
      <c r="B76" s="47" t="s">
        <v>175</v>
      </c>
      <c r="C76" s="48" t="s">
        <v>148</v>
      </c>
      <c r="D76" s="49" t="s">
        <v>77</v>
      </c>
      <c r="E76" s="50" t="s">
        <v>154</v>
      </c>
      <c r="F76" s="51" t="s">
        <v>99</v>
      </c>
    </row>
    <row r="77" ht="18.0" customHeight="1">
      <c r="A77" s="40" t="s">
        <v>174</v>
      </c>
      <c r="B77" s="52" t="s">
        <v>81</v>
      </c>
      <c r="C77" s="42" t="s">
        <v>146</v>
      </c>
      <c r="D77" s="43" t="s">
        <v>77</v>
      </c>
      <c r="E77" s="44" t="s">
        <v>137</v>
      </c>
      <c r="F77" s="45" t="s">
        <v>139</v>
      </c>
    </row>
    <row r="78" ht="18.0" customHeight="1">
      <c r="A78" s="46" t="s">
        <v>174</v>
      </c>
      <c r="B78" s="47" t="s">
        <v>81</v>
      </c>
      <c r="C78" s="48" t="s">
        <v>138</v>
      </c>
      <c r="D78" s="49" t="s">
        <v>77</v>
      </c>
      <c r="E78" s="50" t="s">
        <v>145</v>
      </c>
      <c r="F78" s="51" t="s">
        <v>111</v>
      </c>
    </row>
    <row r="79" ht="19.5" customHeight="1">
      <c r="A79" s="62" t="s">
        <v>176</v>
      </c>
      <c r="B79" s="17"/>
      <c r="C79" s="17"/>
      <c r="D79" s="17"/>
      <c r="E79" s="17"/>
      <c r="F79" s="18"/>
    </row>
    <row r="80" ht="19.5" customHeight="1">
      <c r="A80" s="63" t="s">
        <v>177</v>
      </c>
      <c r="B80" s="63" t="s">
        <v>178</v>
      </c>
      <c r="C80" s="64" t="s">
        <v>179</v>
      </c>
      <c r="D80" s="64" t="s">
        <v>180</v>
      </c>
      <c r="E80" s="64" t="s">
        <v>181</v>
      </c>
      <c r="F80" s="64"/>
    </row>
    <row r="81" ht="19.5" customHeight="1">
      <c r="A81" s="65" t="s">
        <v>182</v>
      </c>
      <c r="B81" s="65" t="s">
        <v>178</v>
      </c>
      <c r="C81" s="66" t="s">
        <v>183</v>
      </c>
      <c r="D81" s="66" t="s">
        <v>184</v>
      </c>
      <c r="E81" s="66" t="s">
        <v>185</v>
      </c>
      <c r="F81" s="66"/>
    </row>
    <row r="82" ht="19.5" customHeight="1">
      <c r="A82" s="63" t="s">
        <v>186</v>
      </c>
      <c r="B82" s="63" t="s">
        <v>178</v>
      </c>
      <c r="C82" s="64" t="s">
        <v>187</v>
      </c>
      <c r="D82" s="64" t="s">
        <v>188</v>
      </c>
      <c r="E82" s="64" t="s">
        <v>189</v>
      </c>
      <c r="F82" s="64"/>
    </row>
    <row r="83" ht="19.5" customHeight="1">
      <c r="A83" s="65" t="s">
        <v>190</v>
      </c>
      <c r="B83" s="65" t="s">
        <v>178</v>
      </c>
      <c r="C83" s="66" t="s">
        <v>191</v>
      </c>
      <c r="D83" s="66" t="s">
        <v>192</v>
      </c>
      <c r="E83" s="66" t="s">
        <v>193</v>
      </c>
      <c r="F83" s="66"/>
    </row>
    <row r="84" ht="19.5" customHeight="1">
      <c r="A84" s="63" t="s">
        <v>194</v>
      </c>
      <c r="B84" s="63" t="s">
        <v>178</v>
      </c>
      <c r="C84" s="64" t="s">
        <v>195</v>
      </c>
      <c r="D84" s="64" t="s">
        <v>178</v>
      </c>
      <c r="E84" s="64" t="s">
        <v>196</v>
      </c>
      <c r="F84" s="64"/>
    </row>
    <row r="85" ht="19.5" customHeight="1">
      <c r="A85" s="61" t="s">
        <v>197</v>
      </c>
      <c r="B85" s="61" t="s">
        <v>75</v>
      </c>
      <c r="C85" s="58" t="s">
        <v>198</v>
      </c>
      <c r="D85" s="58" t="s">
        <v>178</v>
      </c>
      <c r="E85" s="58" t="s">
        <v>199</v>
      </c>
      <c r="F85" s="58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A4:F4"/>
    <mergeCell ref="A29:F29"/>
    <mergeCell ref="A54:F54"/>
    <mergeCell ref="A79:F7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7.0"/>
    <col customWidth="1" min="3" max="5" width="7.0"/>
    <col customWidth="1" min="6" max="6" width="4.0"/>
    <col customWidth="1" min="7" max="7" width="17.0"/>
    <col customWidth="1" min="8" max="9" width="7.0"/>
    <col customWidth="1" min="10" max="11" width="8.0"/>
    <col customWidth="1" min="12" max="12" width="9.0"/>
    <col customWidth="1" min="13" max="13" width="7.0"/>
    <col customWidth="1" min="14" max="26" width="8.71"/>
  </cols>
  <sheetData>
    <row r="1" ht="31.5" customHeight="1">
      <c r="A1" s="67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1.5" customHeight="1">
      <c r="A2" s="68" t="s">
        <v>201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ht="39.75" customHeight="1">
      <c r="A3" s="69" t="s">
        <v>202</v>
      </c>
      <c r="B3" s="69" t="s">
        <v>69</v>
      </c>
      <c r="C3" s="70" t="s">
        <v>203</v>
      </c>
      <c r="D3" s="70" t="s">
        <v>204</v>
      </c>
      <c r="E3" s="70" t="s">
        <v>205</v>
      </c>
      <c r="F3" s="69" t="s">
        <v>70</v>
      </c>
      <c r="G3" s="69" t="s">
        <v>71</v>
      </c>
      <c r="H3" s="71" t="s">
        <v>206</v>
      </c>
      <c r="I3" s="71" t="s">
        <v>207</v>
      </c>
      <c r="J3" s="72" t="s">
        <v>208</v>
      </c>
      <c r="K3" s="72" t="s">
        <v>209</v>
      </c>
      <c r="L3" s="69" t="s">
        <v>67</v>
      </c>
      <c r="M3" s="69" t="s">
        <v>210</v>
      </c>
    </row>
    <row r="4" ht="18.0" customHeight="1">
      <c r="A4" s="39" t="s">
        <v>211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ht="21.75" customHeight="1">
      <c r="A5" s="73">
        <v>1.0</v>
      </c>
      <c r="B5" s="74" t="s">
        <v>76</v>
      </c>
      <c r="C5" s="75">
        <v>1.0</v>
      </c>
      <c r="D5" s="75">
        <v>1.0</v>
      </c>
      <c r="E5" s="75">
        <v>1.0</v>
      </c>
      <c r="F5" s="76" t="s">
        <v>70</v>
      </c>
      <c r="G5" s="77" t="s">
        <v>78</v>
      </c>
      <c r="H5" s="78"/>
      <c r="I5" s="78"/>
      <c r="J5" s="79" t="str">
        <f t="shared" ref="J5:J6" si="1">IF(AND(H5&lt;&gt;"",I5&lt;&gt;"",E5&lt;&gt;""),IF(OR(AND(UPPER(E5)="1",H5&gt;I5),AND(UPPER(E5)="X",H5=I5),AND(UPPER(E5)="2",H5&lt;I5)),1,0),"")</f>
        <v/>
      </c>
      <c r="K5" s="79" t="str">
        <f t="shared" ref="K5:K6" si="2">IF(AND(H5&lt;&gt;"",I5&lt;&gt;"",C5&lt;&gt;"",D5&lt;&gt;""),IF(AND(H5=C5,I5=D5),3,0),"")</f>
        <v/>
      </c>
      <c r="L5" s="80" t="s">
        <v>212</v>
      </c>
      <c r="M5" s="81" t="s">
        <v>75</v>
      </c>
    </row>
    <row r="6" ht="21.75" customHeight="1">
      <c r="A6" s="82">
        <v>1.0</v>
      </c>
      <c r="B6" s="83" t="s">
        <v>82</v>
      </c>
      <c r="C6" s="75">
        <v>1.0</v>
      </c>
      <c r="D6" s="75">
        <v>1.0</v>
      </c>
      <c r="E6" s="75" t="s">
        <v>213</v>
      </c>
      <c r="F6" s="84" t="s">
        <v>70</v>
      </c>
      <c r="G6" s="85" t="s">
        <v>83</v>
      </c>
      <c r="H6" s="78"/>
      <c r="I6" s="78"/>
      <c r="J6" s="86" t="str">
        <f t="shared" si="1"/>
        <v/>
      </c>
      <c r="K6" s="86" t="str">
        <f t="shared" si="2"/>
        <v/>
      </c>
      <c r="L6" s="87" t="s">
        <v>214</v>
      </c>
      <c r="M6" s="88" t="s">
        <v>81</v>
      </c>
    </row>
    <row r="7" ht="18.0" customHeight="1">
      <c r="A7" s="39" t="s">
        <v>215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ht="21.75" customHeight="1">
      <c r="A8" s="82">
        <v>2.0</v>
      </c>
      <c r="B8" s="83" t="s">
        <v>76</v>
      </c>
      <c r="C8" s="75">
        <v>3.0</v>
      </c>
      <c r="D8" s="75">
        <v>1.0</v>
      </c>
      <c r="E8" s="75" t="s">
        <v>213</v>
      </c>
      <c r="F8" s="84" t="s">
        <v>70</v>
      </c>
      <c r="G8" s="85" t="s">
        <v>82</v>
      </c>
      <c r="H8" s="78"/>
      <c r="I8" s="78"/>
      <c r="J8" s="86" t="str">
        <f t="shared" ref="J8:J9" si="3">IF(AND(H8&lt;&gt;"",I8&lt;&gt;"",E8&lt;&gt;""),IF(OR(AND(UPPER(E8)="1",H8&gt;I8),AND(UPPER(E8)="X",H8=I8),AND(UPPER(E8)="2",H8&lt;I8)),1,0),"")</f>
        <v/>
      </c>
      <c r="K8" s="86" t="str">
        <f t="shared" ref="K8:K9" si="4">IF(AND(H8&lt;&gt;"",I8&lt;&gt;"",C8&lt;&gt;"",D8&lt;&gt;""),IF(AND(H8=C8,I8=D8),3,0),"")</f>
        <v/>
      </c>
      <c r="L8" s="87" t="s">
        <v>216</v>
      </c>
      <c r="M8" s="88" t="s">
        <v>89</v>
      </c>
    </row>
    <row r="9" ht="21.75" customHeight="1">
      <c r="A9" s="73">
        <v>2.0</v>
      </c>
      <c r="B9" s="74" t="s">
        <v>78</v>
      </c>
      <c r="C9" s="75">
        <v>0.0</v>
      </c>
      <c r="D9" s="75">
        <v>3.0</v>
      </c>
      <c r="E9" s="75">
        <v>2.0</v>
      </c>
      <c r="F9" s="76" t="s">
        <v>70</v>
      </c>
      <c r="G9" s="77" t="s">
        <v>83</v>
      </c>
      <c r="H9" s="78"/>
      <c r="I9" s="78"/>
      <c r="J9" s="79" t="str">
        <f t="shared" si="3"/>
        <v/>
      </c>
      <c r="K9" s="79" t="str">
        <f t="shared" si="4"/>
        <v/>
      </c>
      <c r="L9" s="80" t="s">
        <v>217</v>
      </c>
      <c r="M9" s="81" t="s">
        <v>124</v>
      </c>
    </row>
    <row r="10" ht="18.0" customHeight="1">
      <c r="A10" s="39" t="s">
        <v>218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ht="21.75" customHeight="1">
      <c r="A11" s="73">
        <v>3.0</v>
      </c>
      <c r="B11" s="74" t="s">
        <v>83</v>
      </c>
      <c r="C11" s="75">
        <v>1.0</v>
      </c>
      <c r="D11" s="75">
        <v>2.0</v>
      </c>
      <c r="E11" s="75">
        <v>2.0</v>
      </c>
      <c r="F11" s="76" t="s">
        <v>70</v>
      </c>
      <c r="G11" s="77" t="s">
        <v>76</v>
      </c>
      <c r="H11" s="78"/>
      <c r="I11" s="78"/>
      <c r="J11" s="79" t="str">
        <f t="shared" ref="J11:J12" si="5">IF(AND(H11&lt;&gt;"",I11&lt;&gt;"",E11&lt;&gt;""),IF(OR(AND(UPPER(E11)="1",H11&gt;I11),AND(UPPER(E11)="X",H11=I11),AND(UPPER(E11)="2",H11&lt;I11)),1,0),"")</f>
        <v/>
      </c>
      <c r="K11" s="79" t="str">
        <f t="shared" ref="K11:K12" si="6">IF(AND(H11&lt;&gt;"",I11&lt;&gt;"",C11&lt;&gt;"",D11&lt;&gt;""),IF(AND(H11=C11,I11=D11),3,0),"")</f>
        <v/>
      </c>
      <c r="L11" s="80" t="s">
        <v>219</v>
      </c>
      <c r="M11" s="89" t="s">
        <v>89</v>
      </c>
    </row>
    <row r="12" ht="21.75" customHeight="1">
      <c r="A12" s="82">
        <v>3.0</v>
      </c>
      <c r="B12" s="83" t="s">
        <v>78</v>
      </c>
      <c r="C12" s="75">
        <v>1.0</v>
      </c>
      <c r="D12" s="75">
        <v>2.0</v>
      </c>
      <c r="E12" s="75">
        <v>2.0</v>
      </c>
      <c r="F12" s="84" t="s">
        <v>70</v>
      </c>
      <c r="G12" s="85" t="s">
        <v>82</v>
      </c>
      <c r="H12" s="78"/>
      <c r="I12" s="78"/>
      <c r="J12" s="86" t="str">
        <f t="shared" si="5"/>
        <v/>
      </c>
      <c r="K12" s="86" t="str">
        <f t="shared" si="6"/>
        <v/>
      </c>
      <c r="L12" s="87" t="s">
        <v>219</v>
      </c>
      <c r="M12" s="88" t="s">
        <v>89</v>
      </c>
    </row>
    <row r="14" ht="21.75" customHeight="1">
      <c r="A14" s="90" t="s">
        <v>220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ht="21.75" customHeight="1">
      <c r="A15" s="91" t="s">
        <v>221</v>
      </c>
      <c r="B15" s="92" t="s">
        <v>222</v>
      </c>
      <c r="C15" s="17"/>
      <c r="D15" s="17"/>
      <c r="E15" s="17"/>
      <c r="F15" s="18"/>
      <c r="G15" s="93" t="s">
        <v>223</v>
      </c>
      <c r="H15" s="17"/>
      <c r="I15" s="18"/>
      <c r="J15" s="94" t="s">
        <v>224</v>
      </c>
      <c r="K15" s="17"/>
      <c r="L15" s="17"/>
      <c r="M15" s="18"/>
    </row>
    <row r="16" ht="21.75" customHeight="1">
      <c r="A16" s="28" t="s">
        <v>225</v>
      </c>
      <c r="B16" s="95" t="s">
        <v>226</v>
      </c>
      <c r="C16" s="17"/>
      <c r="D16" s="17"/>
      <c r="E16" s="17"/>
      <c r="F16" s="18"/>
      <c r="G16" s="96"/>
      <c r="H16" s="17"/>
      <c r="I16" s="18"/>
      <c r="J16" s="97" t="str">
        <f>IF(AND(B16&lt;&gt;"",G16&lt;&gt;""),IF(LOWER(TRIM(B16))=LOWER(TRIM(G16)),4,0),"")</f>
        <v/>
      </c>
      <c r="K16" s="17"/>
      <c r="L16" s="17"/>
      <c r="M16" s="18"/>
    </row>
    <row r="17" ht="21.75" customHeight="1">
      <c r="A17" s="28" t="s">
        <v>227</v>
      </c>
      <c r="B17" s="95" t="s">
        <v>228</v>
      </c>
      <c r="C17" s="17"/>
      <c r="D17" s="17"/>
      <c r="E17" s="17"/>
      <c r="F17" s="18"/>
      <c r="G17" s="96"/>
      <c r="H17" s="17"/>
      <c r="I17" s="18"/>
      <c r="J17" s="97" t="str">
        <f>IF(AND(B17&lt;&gt;"",G17&lt;&gt;""),IF(LOWER(TRIM(B17))=LOWER(TRIM(G17)),2,0),"")</f>
        <v/>
      </c>
      <c r="K17" s="17"/>
      <c r="L17" s="17"/>
      <c r="M17" s="18"/>
    </row>
    <row r="18" ht="21.75" customHeight="1">
      <c r="A18" s="28" t="s">
        <v>229</v>
      </c>
      <c r="B18" s="95" t="s">
        <v>230</v>
      </c>
      <c r="C18" s="17"/>
      <c r="D18" s="17"/>
      <c r="E18" s="17"/>
      <c r="F18" s="18"/>
      <c r="G18" s="96"/>
      <c r="H18" s="17"/>
      <c r="I18" s="18"/>
      <c r="J18" s="97"/>
      <c r="K18" s="17"/>
      <c r="L18" s="17"/>
      <c r="M18" s="18"/>
    </row>
    <row r="20" ht="21.75" customHeight="1">
      <c r="A20" s="98" t="s">
        <v>231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</row>
    <row r="21" ht="19.5" customHeight="1">
      <c r="A21" s="29" t="s">
        <v>232</v>
      </c>
      <c r="B21" s="17"/>
      <c r="C21" s="17"/>
      <c r="D21" s="17"/>
      <c r="E21" s="17"/>
      <c r="F21" s="17"/>
      <c r="G21" s="17"/>
      <c r="H21" s="17"/>
      <c r="I21" s="18"/>
      <c r="J21" s="99">
        <f>IFERROR(SUM(J5:J12),0)</f>
        <v>0</v>
      </c>
      <c r="K21" s="17"/>
      <c r="L21" s="17"/>
      <c r="M21" s="18"/>
    </row>
    <row r="22" ht="19.5" customHeight="1">
      <c r="A22" s="29" t="s">
        <v>233</v>
      </c>
      <c r="B22" s="17"/>
      <c r="C22" s="17"/>
      <c r="D22" s="17"/>
      <c r="E22" s="17"/>
      <c r="F22" s="17"/>
      <c r="G22" s="17"/>
      <c r="H22" s="17"/>
      <c r="I22" s="18"/>
      <c r="J22" s="99">
        <f>IFERROR(SUM(K5:K12),0)</f>
        <v>0</v>
      </c>
      <c r="K22" s="17"/>
      <c r="L22" s="17"/>
      <c r="M22" s="18"/>
    </row>
    <row r="23" ht="19.5" customHeight="1">
      <c r="A23" s="29" t="s">
        <v>234</v>
      </c>
      <c r="B23" s="17"/>
      <c r="C23" s="17"/>
      <c r="D23" s="17"/>
      <c r="E23" s="17"/>
      <c r="F23" s="17"/>
      <c r="G23" s="17"/>
      <c r="H23" s="17"/>
      <c r="I23" s="18"/>
      <c r="J23" s="99">
        <f>IFERROR(J16+J17,0)</f>
        <v>0</v>
      </c>
      <c r="K23" s="17"/>
      <c r="L23" s="17"/>
      <c r="M23" s="18"/>
    </row>
    <row r="24" ht="19.5" customHeight="1">
      <c r="A24" s="29" t="s">
        <v>235</v>
      </c>
      <c r="B24" s="17"/>
      <c r="C24" s="17"/>
      <c r="D24" s="17"/>
      <c r="E24" s="17"/>
      <c r="F24" s="17"/>
      <c r="G24" s="17"/>
      <c r="H24" s="17"/>
      <c r="I24" s="18"/>
      <c r="J24" s="99" t="str">
        <f>IFERROR(J18,0)</f>
        <v/>
      </c>
      <c r="K24" s="17"/>
      <c r="L24" s="17"/>
      <c r="M24" s="18"/>
    </row>
    <row r="25" ht="25.5" customHeight="1">
      <c r="A25" s="100" t="s">
        <v>236</v>
      </c>
      <c r="B25" s="17"/>
      <c r="C25" s="17"/>
      <c r="D25" s="17"/>
      <c r="E25" s="17"/>
      <c r="F25" s="17"/>
      <c r="G25" s="17"/>
      <c r="H25" s="17"/>
      <c r="I25" s="18"/>
      <c r="J25" s="101">
        <f>J21+J22+J23+J24</f>
        <v>0</v>
      </c>
      <c r="K25" s="17"/>
      <c r="L25" s="17"/>
      <c r="M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G15:I15"/>
    <mergeCell ref="J15:M15"/>
    <mergeCell ref="A1:M1"/>
    <mergeCell ref="A2:M2"/>
    <mergeCell ref="A4:M4"/>
    <mergeCell ref="A7:M7"/>
    <mergeCell ref="A10:M10"/>
    <mergeCell ref="A14:M14"/>
    <mergeCell ref="B15:F15"/>
    <mergeCell ref="G18:I18"/>
    <mergeCell ref="J18:M18"/>
    <mergeCell ref="B16:F16"/>
    <mergeCell ref="G16:I16"/>
    <mergeCell ref="J16:M16"/>
    <mergeCell ref="B17:F17"/>
    <mergeCell ref="G17:I17"/>
    <mergeCell ref="J17:M17"/>
    <mergeCell ref="B18:F18"/>
    <mergeCell ref="A24:I24"/>
    <mergeCell ref="J24:M24"/>
    <mergeCell ref="A25:I25"/>
    <mergeCell ref="J25:M25"/>
    <mergeCell ref="A20:M20"/>
    <mergeCell ref="A21:I21"/>
    <mergeCell ref="J21:M21"/>
    <mergeCell ref="A22:I22"/>
    <mergeCell ref="J22:M22"/>
    <mergeCell ref="A23:I23"/>
    <mergeCell ref="J23:M2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7.0"/>
    <col customWidth="1" min="3" max="5" width="7.0"/>
    <col customWidth="1" min="6" max="6" width="4.0"/>
    <col customWidth="1" min="7" max="7" width="17.0"/>
    <col customWidth="1" min="8" max="9" width="7.0"/>
    <col customWidth="1" min="10" max="11" width="8.0"/>
    <col customWidth="1" min="12" max="12" width="9.0"/>
    <col customWidth="1" min="13" max="13" width="7.0"/>
    <col customWidth="1" min="14" max="26" width="8.71"/>
  </cols>
  <sheetData>
    <row r="1" ht="31.5" customHeight="1">
      <c r="A1" s="67" t="s">
        <v>237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1.5" customHeight="1">
      <c r="A2" s="68" t="s">
        <v>201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ht="39.75" customHeight="1">
      <c r="A3" s="69" t="s">
        <v>202</v>
      </c>
      <c r="B3" s="69" t="s">
        <v>69</v>
      </c>
      <c r="C3" s="70" t="s">
        <v>203</v>
      </c>
      <c r="D3" s="70" t="s">
        <v>204</v>
      </c>
      <c r="E3" s="70" t="s">
        <v>205</v>
      </c>
      <c r="F3" s="69" t="s">
        <v>70</v>
      </c>
      <c r="G3" s="69" t="s">
        <v>71</v>
      </c>
      <c r="H3" s="71" t="s">
        <v>206</v>
      </c>
      <c r="I3" s="71" t="s">
        <v>207</v>
      </c>
      <c r="J3" s="72" t="s">
        <v>208</v>
      </c>
      <c r="K3" s="72" t="s">
        <v>209</v>
      </c>
      <c r="L3" s="69" t="s">
        <v>67</v>
      </c>
      <c r="M3" s="69" t="s">
        <v>210</v>
      </c>
    </row>
    <row r="4" ht="18.0" customHeight="1">
      <c r="A4" s="39" t="s">
        <v>211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ht="21.75" customHeight="1">
      <c r="A5" s="73">
        <v>1.0</v>
      </c>
      <c r="B5" s="74" t="s">
        <v>85</v>
      </c>
      <c r="C5" s="75">
        <v>1.0</v>
      </c>
      <c r="D5" s="75">
        <v>1.0</v>
      </c>
      <c r="E5" s="75">
        <v>2.0</v>
      </c>
      <c r="F5" s="76" t="s">
        <v>70</v>
      </c>
      <c r="G5" s="77" t="s">
        <v>86</v>
      </c>
      <c r="H5" s="78"/>
      <c r="I5" s="78"/>
      <c r="J5" s="79" t="str">
        <f t="shared" ref="J5:J6" si="1">IF(AND(H5&lt;&gt;"",I5&lt;&gt;"",E5&lt;&gt;""),IF(OR(AND(UPPER(E5)="1",H5&gt;I5),AND(UPPER(E5)="X",H5=I5),AND(UPPER(E5)="2",H5&lt;I5)),1,0),"")</f>
        <v/>
      </c>
      <c r="K5" s="79" t="str">
        <f t="shared" ref="K5:K6" si="2">IF(AND(H5&lt;&gt;"",I5&lt;&gt;"",C5&lt;&gt;"",D5&lt;&gt;""),IF(AND(H5=C5,I5=D5),3,0),"")</f>
        <v/>
      </c>
      <c r="L5" s="80" t="s">
        <v>214</v>
      </c>
      <c r="M5" s="81" t="s">
        <v>75</v>
      </c>
    </row>
    <row r="6" ht="21.75" customHeight="1">
      <c r="A6" s="82">
        <v>1.0</v>
      </c>
      <c r="B6" s="83" t="s">
        <v>97</v>
      </c>
      <c r="C6" s="75">
        <v>2.0</v>
      </c>
      <c r="D6" s="75">
        <v>0.0</v>
      </c>
      <c r="E6" s="75">
        <v>1.0</v>
      </c>
      <c r="F6" s="84" t="s">
        <v>70</v>
      </c>
      <c r="G6" s="85" t="s">
        <v>98</v>
      </c>
      <c r="H6" s="78"/>
      <c r="I6" s="78"/>
      <c r="J6" s="86" t="str">
        <f t="shared" si="1"/>
        <v/>
      </c>
      <c r="K6" s="86" t="str">
        <f t="shared" si="2"/>
        <v/>
      </c>
      <c r="L6" s="87" t="s">
        <v>238</v>
      </c>
      <c r="M6" s="102" t="s">
        <v>75</v>
      </c>
    </row>
    <row r="7" ht="18.0" customHeight="1">
      <c r="A7" s="39" t="s">
        <v>215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ht="21.75" customHeight="1">
      <c r="A8" s="82">
        <v>2.0</v>
      </c>
      <c r="B8" s="83" t="s">
        <v>85</v>
      </c>
      <c r="C8" s="75">
        <v>0.0</v>
      </c>
      <c r="D8" s="75">
        <v>2.0</v>
      </c>
      <c r="E8" s="75">
        <v>2.0</v>
      </c>
      <c r="F8" s="84" t="s">
        <v>70</v>
      </c>
      <c r="G8" s="85" t="s">
        <v>97</v>
      </c>
      <c r="H8" s="78"/>
      <c r="I8" s="78"/>
      <c r="J8" s="86" t="str">
        <f t="shared" ref="J8:J9" si="3">IF(AND(H8&lt;&gt;"",I8&lt;&gt;"",E8&lt;&gt;""),IF(OR(AND(UPPER(E8)="1",H8&gt;I8),AND(UPPER(E8)="X",H8=I8),AND(UPPER(E8)="2",H8&lt;I8)),1,0),"")</f>
        <v/>
      </c>
      <c r="K8" s="86" t="str">
        <f t="shared" ref="K8:K9" si="4">IF(AND(H8&lt;&gt;"",I8&lt;&gt;"",C8&lt;&gt;"",D8&lt;&gt;""),IF(AND(H8=C8,I8=D8),3,0),"")</f>
        <v/>
      </c>
      <c r="L8" s="87" t="s">
        <v>216</v>
      </c>
      <c r="M8" s="88" t="s">
        <v>101</v>
      </c>
    </row>
    <row r="9" ht="21.75" customHeight="1">
      <c r="A9" s="73">
        <v>2.0</v>
      </c>
      <c r="B9" s="74" t="s">
        <v>98</v>
      </c>
      <c r="C9" s="75">
        <v>1.0</v>
      </c>
      <c r="D9" s="75">
        <v>2.0</v>
      </c>
      <c r="E9" s="75">
        <v>2.0</v>
      </c>
      <c r="F9" s="76" t="s">
        <v>70</v>
      </c>
      <c r="G9" s="77" t="s">
        <v>86</v>
      </c>
      <c r="H9" s="78"/>
      <c r="I9" s="78"/>
      <c r="J9" s="79" t="str">
        <f t="shared" si="3"/>
        <v/>
      </c>
      <c r="K9" s="79" t="str">
        <f t="shared" si="4"/>
        <v/>
      </c>
      <c r="L9" s="80" t="s">
        <v>217</v>
      </c>
      <c r="M9" s="81" t="s">
        <v>75</v>
      </c>
    </row>
    <row r="10" ht="18.0" customHeight="1">
      <c r="A10" s="39" t="s">
        <v>218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ht="21.75" customHeight="1">
      <c r="A11" s="73">
        <v>3.0</v>
      </c>
      <c r="B11" s="74" t="s">
        <v>86</v>
      </c>
      <c r="C11" s="75">
        <v>0.0</v>
      </c>
      <c r="D11" s="75">
        <v>2.0</v>
      </c>
      <c r="E11" s="75">
        <v>2.0</v>
      </c>
      <c r="F11" s="76" t="s">
        <v>70</v>
      </c>
      <c r="G11" s="77" t="s">
        <v>97</v>
      </c>
      <c r="H11" s="78"/>
      <c r="I11" s="78"/>
      <c r="J11" s="79" t="str">
        <f t="shared" ref="J11:J12" si="5">IF(AND(H11&lt;&gt;"",I11&lt;&gt;"",E11&lt;&gt;""),IF(OR(AND(UPPER(E11)="1",H11&gt;I11),AND(UPPER(E11)="X",H11=I11),AND(UPPER(E11)="2",H11&lt;I11)),1,0),"")</f>
        <v/>
      </c>
      <c r="K11" s="79" t="str">
        <f t="shared" ref="K11:K12" si="6">IF(AND(H11&lt;&gt;"",I11&lt;&gt;"",C11&lt;&gt;"",D11&lt;&gt;""),IF(AND(H11=C11,I11=D11),3,0),"")</f>
        <v/>
      </c>
      <c r="L11" s="80" t="s">
        <v>239</v>
      </c>
      <c r="M11" s="81" t="s">
        <v>75</v>
      </c>
    </row>
    <row r="12" ht="21.75" customHeight="1">
      <c r="A12" s="82">
        <v>3.0</v>
      </c>
      <c r="B12" s="83" t="s">
        <v>98</v>
      </c>
      <c r="C12" s="75">
        <v>1.0</v>
      </c>
      <c r="D12" s="75">
        <v>0.0</v>
      </c>
      <c r="E12" s="75" t="s">
        <v>213</v>
      </c>
      <c r="F12" s="84" t="s">
        <v>70</v>
      </c>
      <c r="G12" s="85" t="s">
        <v>85</v>
      </c>
      <c r="H12" s="78"/>
      <c r="I12" s="78"/>
      <c r="J12" s="86" t="str">
        <f t="shared" si="5"/>
        <v/>
      </c>
      <c r="K12" s="86" t="str">
        <f t="shared" si="6"/>
        <v/>
      </c>
      <c r="L12" s="87" t="s">
        <v>239</v>
      </c>
      <c r="M12" s="102" t="s">
        <v>75</v>
      </c>
    </row>
    <row r="14" ht="21.75" customHeight="1">
      <c r="A14" s="90" t="s">
        <v>220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ht="21.75" customHeight="1">
      <c r="A15" s="91" t="s">
        <v>221</v>
      </c>
      <c r="B15" s="92" t="s">
        <v>222</v>
      </c>
      <c r="C15" s="17"/>
      <c r="D15" s="17"/>
      <c r="E15" s="17"/>
      <c r="F15" s="18"/>
      <c r="G15" s="93" t="s">
        <v>223</v>
      </c>
      <c r="H15" s="17"/>
      <c r="I15" s="18"/>
      <c r="J15" s="94" t="s">
        <v>224</v>
      </c>
      <c r="K15" s="17"/>
      <c r="L15" s="17"/>
      <c r="M15" s="18"/>
    </row>
    <row r="16" ht="21.75" customHeight="1">
      <c r="A16" s="28" t="s">
        <v>225</v>
      </c>
      <c r="B16" s="95" t="s">
        <v>240</v>
      </c>
      <c r="C16" s="17"/>
      <c r="D16" s="17"/>
      <c r="E16" s="17"/>
      <c r="F16" s="18"/>
      <c r="G16" s="96"/>
      <c r="H16" s="17"/>
      <c r="I16" s="18"/>
      <c r="J16" s="97" t="str">
        <f>IF(AND(B16&lt;&gt;"",G16&lt;&gt;""),IF(LOWER(TRIM(B16))=LOWER(TRIM(G16)),4,0),"")</f>
        <v/>
      </c>
      <c r="K16" s="17"/>
      <c r="L16" s="17"/>
      <c r="M16" s="18"/>
    </row>
    <row r="17" ht="21.75" customHeight="1">
      <c r="A17" s="28" t="s">
        <v>227</v>
      </c>
      <c r="B17" s="103" t="s">
        <v>241</v>
      </c>
      <c r="C17" s="17"/>
      <c r="D17" s="17"/>
      <c r="E17" s="17"/>
      <c r="F17" s="18"/>
      <c r="G17" s="96"/>
      <c r="H17" s="17"/>
      <c r="I17" s="18"/>
      <c r="J17" s="97" t="str">
        <f>IF(AND(B17&lt;&gt;"",G17&lt;&gt;""),IF(LOWER(TRIM(B17))=LOWER(TRIM(G17)),2,0),"")</f>
        <v/>
      </c>
      <c r="K17" s="17"/>
      <c r="L17" s="17"/>
      <c r="M17" s="18"/>
    </row>
    <row r="18" ht="21.75" customHeight="1">
      <c r="A18" s="28" t="s">
        <v>229</v>
      </c>
      <c r="B18" s="95" t="s">
        <v>242</v>
      </c>
      <c r="C18" s="17"/>
      <c r="D18" s="17"/>
      <c r="E18" s="17"/>
      <c r="F18" s="18"/>
      <c r="G18" s="96"/>
      <c r="H18" s="17"/>
      <c r="I18" s="18"/>
      <c r="J18" s="97"/>
      <c r="K18" s="17"/>
      <c r="L18" s="17"/>
      <c r="M18" s="18"/>
    </row>
    <row r="20" ht="21.75" customHeight="1">
      <c r="A20" s="98" t="s">
        <v>243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</row>
    <row r="21" ht="19.5" customHeight="1">
      <c r="A21" s="29" t="s">
        <v>232</v>
      </c>
      <c r="B21" s="17"/>
      <c r="C21" s="17"/>
      <c r="D21" s="17"/>
      <c r="E21" s="17"/>
      <c r="F21" s="17"/>
      <c r="G21" s="17"/>
      <c r="H21" s="17"/>
      <c r="I21" s="18"/>
      <c r="J21" s="99">
        <f>IFERROR(SUM(J5:J12),0)</f>
        <v>0</v>
      </c>
      <c r="K21" s="17"/>
      <c r="L21" s="17"/>
      <c r="M21" s="18"/>
    </row>
    <row r="22" ht="19.5" customHeight="1">
      <c r="A22" s="29" t="s">
        <v>233</v>
      </c>
      <c r="B22" s="17"/>
      <c r="C22" s="17"/>
      <c r="D22" s="17"/>
      <c r="E22" s="17"/>
      <c r="F22" s="17"/>
      <c r="G22" s="17"/>
      <c r="H22" s="17"/>
      <c r="I22" s="18"/>
      <c r="J22" s="99">
        <f>IFERROR(SUM(K5:K12),0)</f>
        <v>0</v>
      </c>
      <c r="K22" s="17"/>
      <c r="L22" s="17"/>
      <c r="M22" s="18"/>
    </row>
    <row r="23" ht="19.5" customHeight="1">
      <c r="A23" s="29" t="s">
        <v>234</v>
      </c>
      <c r="B23" s="17"/>
      <c r="C23" s="17"/>
      <c r="D23" s="17"/>
      <c r="E23" s="17"/>
      <c r="F23" s="17"/>
      <c r="G23" s="17"/>
      <c r="H23" s="17"/>
      <c r="I23" s="18"/>
      <c r="J23" s="99">
        <f>IFERROR(J16+J17,0)</f>
        <v>0</v>
      </c>
      <c r="K23" s="17"/>
      <c r="L23" s="17"/>
      <c r="M23" s="18"/>
    </row>
    <row r="24" ht="19.5" customHeight="1">
      <c r="A24" s="29" t="s">
        <v>235</v>
      </c>
      <c r="B24" s="17"/>
      <c r="C24" s="17"/>
      <c r="D24" s="17"/>
      <c r="E24" s="17"/>
      <c r="F24" s="17"/>
      <c r="G24" s="17"/>
      <c r="H24" s="17"/>
      <c r="I24" s="18"/>
      <c r="J24" s="99" t="str">
        <f>IFERROR(J18,0)</f>
        <v/>
      </c>
      <c r="K24" s="17"/>
      <c r="L24" s="17"/>
      <c r="M24" s="18"/>
    </row>
    <row r="25" ht="25.5" customHeight="1">
      <c r="A25" s="100" t="s">
        <v>236</v>
      </c>
      <c r="B25" s="17"/>
      <c r="C25" s="17"/>
      <c r="D25" s="17"/>
      <c r="E25" s="17"/>
      <c r="F25" s="17"/>
      <c r="G25" s="17"/>
      <c r="H25" s="17"/>
      <c r="I25" s="18"/>
      <c r="J25" s="101">
        <f>J21+J22+J23+J24</f>
        <v>0</v>
      </c>
      <c r="K25" s="17"/>
      <c r="L25" s="17"/>
      <c r="M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G15:I15"/>
    <mergeCell ref="J15:M15"/>
    <mergeCell ref="A1:M1"/>
    <mergeCell ref="A2:M2"/>
    <mergeCell ref="A4:M4"/>
    <mergeCell ref="A7:M7"/>
    <mergeCell ref="A10:M10"/>
    <mergeCell ref="A14:M14"/>
    <mergeCell ref="B15:F15"/>
    <mergeCell ref="G18:I18"/>
    <mergeCell ref="J18:M18"/>
    <mergeCell ref="B16:F16"/>
    <mergeCell ref="G16:I16"/>
    <mergeCell ref="J16:M16"/>
    <mergeCell ref="B17:F17"/>
    <mergeCell ref="G17:I17"/>
    <mergeCell ref="J17:M17"/>
    <mergeCell ref="B18:F18"/>
    <mergeCell ref="A24:I24"/>
    <mergeCell ref="J24:M24"/>
    <mergeCell ref="A25:I25"/>
    <mergeCell ref="J25:M25"/>
    <mergeCell ref="A20:M20"/>
    <mergeCell ref="A21:I21"/>
    <mergeCell ref="J21:M21"/>
    <mergeCell ref="A22:I22"/>
    <mergeCell ref="J22:M22"/>
    <mergeCell ref="A23:I23"/>
    <mergeCell ref="J23:M2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7.0"/>
    <col customWidth="1" min="3" max="5" width="7.0"/>
    <col customWidth="1" min="6" max="6" width="4.0"/>
    <col customWidth="1" min="7" max="7" width="17.0"/>
    <col customWidth="1" min="8" max="9" width="7.0"/>
    <col customWidth="1" min="10" max="11" width="8.0"/>
    <col customWidth="1" min="12" max="12" width="9.0"/>
    <col customWidth="1" min="13" max="13" width="7.0"/>
    <col customWidth="1" min="14" max="26" width="8.71"/>
  </cols>
  <sheetData>
    <row r="1" ht="31.5" customHeight="1">
      <c r="A1" s="67" t="s">
        <v>244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1.5" customHeight="1">
      <c r="A2" s="68" t="s">
        <v>201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ht="39.75" customHeight="1">
      <c r="A3" s="69" t="s">
        <v>202</v>
      </c>
      <c r="B3" s="69" t="s">
        <v>69</v>
      </c>
      <c r="C3" s="70" t="s">
        <v>203</v>
      </c>
      <c r="D3" s="70" t="s">
        <v>204</v>
      </c>
      <c r="E3" s="70" t="s">
        <v>205</v>
      </c>
      <c r="F3" s="69" t="s">
        <v>70</v>
      </c>
      <c r="G3" s="69" t="s">
        <v>71</v>
      </c>
      <c r="H3" s="71" t="s">
        <v>206</v>
      </c>
      <c r="I3" s="71" t="s">
        <v>207</v>
      </c>
      <c r="J3" s="72" t="s">
        <v>208</v>
      </c>
      <c r="K3" s="72" t="s">
        <v>209</v>
      </c>
      <c r="L3" s="69" t="s">
        <v>67</v>
      </c>
      <c r="M3" s="69" t="s">
        <v>210</v>
      </c>
    </row>
    <row r="4" ht="18.0" customHeight="1">
      <c r="A4" s="39" t="s">
        <v>211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ht="21.75" customHeight="1">
      <c r="A5" s="73">
        <v>1.0</v>
      </c>
      <c r="B5" s="74" t="s">
        <v>102</v>
      </c>
      <c r="C5" s="104">
        <v>3.0</v>
      </c>
      <c r="D5" s="75">
        <v>2.0</v>
      </c>
      <c r="E5" s="75" t="s">
        <v>213</v>
      </c>
      <c r="F5" s="76" t="s">
        <v>70</v>
      </c>
      <c r="G5" s="77" t="s">
        <v>103</v>
      </c>
      <c r="H5" s="78"/>
      <c r="I5" s="78"/>
      <c r="J5" s="79" t="str">
        <f t="shared" ref="J5:J6" si="1">IF(AND(H5&lt;&gt;"",I5&lt;&gt;"",E5&lt;&gt;""),IF(OR(AND(UPPER(E5)="1",H5&gt;I5),AND(UPPER(E5)="X",H5=I5),AND(UPPER(E5)="2",H5&lt;I5)),1,0),"")</f>
        <v/>
      </c>
      <c r="K5" s="79" t="str">
        <f t="shared" ref="K5:K6" si="2">IF(AND(H5&lt;&gt;"",I5&lt;&gt;"",C5&lt;&gt;"",D5&lt;&gt;""),IF(AND(H5=C5,I5=D5),3,0),"")</f>
        <v/>
      </c>
      <c r="L5" s="80" t="s">
        <v>245</v>
      </c>
      <c r="M5" s="89" t="s">
        <v>101</v>
      </c>
    </row>
    <row r="6" ht="21.75" customHeight="1">
      <c r="A6" s="82">
        <v>1.0</v>
      </c>
      <c r="B6" s="83" t="s">
        <v>105</v>
      </c>
      <c r="C6" s="75">
        <v>0.0</v>
      </c>
      <c r="D6" s="75">
        <v>2.0</v>
      </c>
      <c r="E6" s="75">
        <v>2.0</v>
      </c>
      <c r="F6" s="84" t="s">
        <v>70</v>
      </c>
      <c r="G6" s="85" t="s">
        <v>106</v>
      </c>
      <c r="H6" s="78"/>
      <c r="I6" s="78"/>
      <c r="J6" s="86" t="str">
        <f t="shared" si="1"/>
        <v/>
      </c>
      <c r="K6" s="86" t="str">
        <f t="shared" si="2"/>
        <v/>
      </c>
      <c r="L6" s="87" t="s">
        <v>245</v>
      </c>
      <c r="M6" s="88" t="s">
        <v>89</v>
      </c>
    </row>
    <row r="7" ht="18.0" customHeight="1">
      <c r="A7" s="39" t="s">
        <v>215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ht="21.75" customHeight="1">
      <c r="A8" s="82">
        <v>2.0</v>
      </c>
      <c r="B8" s="83" t="s">
        <v>102</v>
      </c>
      <c r="C8" s="75">
        <v>5.0</v>
      </c>
      <c r="D8" s="75">
        <v>0.0</v>
      </c>
      <c r="E8" s="75">
        <v>1.0</v>
      </c>
      <c r="F8" s="84" t="s">
        <v>70</v>
      </c>
      <c r="G8" s="85" t="s">
        <v>105</v>
      </c>
      <c r="H8" s="78"/>
      <c r="I8" s="78"/>
      <c r="J8" s="86" t="str">
        <f t="shared" ref="J8:J9" si="3">IF(AND(H8&lt;&gt;"",I8&lt;&gt;"",E8&lt;&gt;""),IF(OR(AND(UPPER(E8)="1",H8&gt;I8),AND(UPPER(E8)="X",H8=I8),AND(UPPER(E8)="2",H8&lt;I8)),1,0),"")</f>
        <v/>
      </c>
      <c r="K8" s="86" t="str">
        <f t="shared" ref="K8:K9" si="4">IF(AND(H8&lt;&gt;"",I8&lt;&gt;"",C8&lt;&gt;"",D8&lt;&gt;""),IF(AND(H8=C8,I8=D8),3,0),"")</f>
        <v/>
      </c>
      <c r="L8" s="87" t="s">
        <v>246</v>
      </c>
      <c r="M8" s="88" t="s">
        <v>89</v>
      </c>
    </row>
    <row r="9" ht="21.75" customHeight="1">
      <c r="A9" s="73">
        <v>2.0</v>
      </c>
      <c r="B9" s="74" t="s">
        <v>106</v>
      </c>
      <c r="C9" s="75">
        <v>1.0</v>
      </c>
      <c r="D9" s="75">
        <v>1.0</v>
      </c>
      <c r="E9" s="75">
        <v>2.0</v>
      </c>
      <c r="F9" s="76" t="s">
        <v>70</v>
      </c>
      <c r="G9" s="77" t="s">
        <v>103</v>
      </c>
      <c r="H9" s="78"/>
      <c r="I9" s="78"/>
      <c r="J9" s="79" t="str">
        <f t="shared" si="3"/>
        <v/>
      </c>
      <c r="K9" s="79" t="str">
        <f t="shared" si="4"/>
        <v/>
      </c>
      <c r="L9" s="80" t="s">
        <v>246</v>
      </c>
      <c r="M9" s="89" t="s">
        <v>101</v>
      </c>
    </row>
    <row r="10" ht="18.0" customHeight="1">
      <c r="A10" s="39" t="s">
        <v>218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ht="21.75" customHeight="1">
      <c r="A11" s="73">
        <v>3.0</v>
      </c>
      <c r="B11" s="74" t="s">
        <v>103</v>
      </c>
      <c r="C11" s="75">
        <v>3.0</v>
      </c>
      <c r="D11" s="75">
        <v>1.0</v>
      </c>
      <c r="E11" s="75">
        <v>1.0</v>
      </c>
      <c r="F11" s="76" t="s">
        <v>70</v>
      </c>
      <c r="G11" s="77" t="s">
        <v>105</v>
      </c>
      <c r="H11" s="78"/>
      <c r="I11" s="78"/>
      <c r="J11" s="79" t="str">
        <f t="shared" ref="J11:J12" si="5">IF(AND(H11&lt;&gt;"",I11&lt;&gt;"",E11&lt;&gt;""),IF(OR(AND(UPPER(E11)="1",H11&gt;I11),AND(UPPER(E11)="X",H11=I11),AND(UPPER(E11)="2",H11&lt;I11)),1,0),"")</f>
        <v/>
      </c>
      <c r="K11" s="79" t="str">
        <f t="shared" ref="K11:K12" si="6">IF(AND(H11&lt;&gt;"",I11&lt;&gt;"",C11&lt;&gt;"",D11&lt;&gt;""),IF(AND(H11=C11,I11=D11),3,0),"")</f>
        <v/>
      </c>
      <c r="L11" s="80" t="s">
        <v>219</v>
      </c>
      <c r="M11" s="89" t="s">
        <v>101</v>
      </c>
    </row>
    <row r="12" ht="21.75" customHeight="1">
      <c r="A12" s="82">
        <v>3.0</v>
      </c>
      <c r="B12" s="83" t="s">
        <v>106</v>
      </c>
      <c r="C12" s="75">
        <v>0.0</v>
      </c>
      <c r="D12" s="75">
        <v>2.0</v>
      </c>
      <c r="E12" s="75">
        <v>2.0</v>
      </c>
      <c r="F12" s="84" t="s">
        <v>70</v>
      </c>
      <c r="G12" s="85" t="s">
        <v>102</v>
      </c>
      <c r="H12" s="78"/>
      <c r="I12" s="78"/>
      <c r="J12" s="86" t="str">
        <f t="shared" si="5"/>
        <v/>
      </c>
      <c r="K12" s="86" t="str">
        <f t="shared" si="6"/>
        <v/>
      </c>
      <c r="L12" s="87" t="s">
        <v>219</v>
      </c>
      <c r="M12" s="88" t="s">
        <v>101</v>
      </c>
    </row>
    <row r="14" ht="21.75" customHeight="1">
      <c r="A14" s="90" t="s">
        <v>220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ht="21.75" customHeight="1">
      <c r="A15" s="91" t="s">
        <v>221</v>
      </c>
      <c r="B15" s="92" t="s">
        <v>222</v>
      </c>
      <c r="C15" s="17"/>
      <c r="D15" s="17"/>
      <c r="E15" s="17"/>
      <c r="F15" s="18"/>
      <c r="G15" s="93" t="s">
        <v>223</v>
      </c>
      <c r="H15" s="17"/>
      <c r="I15" s="18"/>
      <c r="J15" s="94" t="s">
        <v>224</v>
      </c>
      <c r="K15" s="17"/>
      <c r="L15" s="17"/>
      <c r="M15" s="18"/>
    </row>
    <row r="16" ht="21.75" customHeight="1">
      <c r="A16" s="28" t="s">
        <v>225</v>
      </c>
      <c r="B16" s="95" t="s">
        <v>247</v>
      </c>
      <c r="C16" s="17"/>
      <c r="D16" s="17"/>
      <c r="E16" s="17"/>
      <c r="F16" s="18"/>
      <c r="G16" s="96"/>
      <c r="H16" s="17"/>
      <c r="I16" s="18"/>
      <c r="J16" s="97" t="str">
        <f>IF(AND(B16&lt;&gt;"",G16&lt;&gt;""),IF(LOWER(TRIM(B16))=LOWER(TRIM(G16)),4,0),"")</f>
        <v/>
      </c>
      <c r="K16" s="17"/>
      <c r="L16" s="17"/>
      <c r="M16" s="18"/>
    </row>
    <row r="17" ht="21.75" customHeight="1">
      <c r="A17" s="28" t="s">
        <v>227</v>
      </c>
      <c r="B17" s="103" t="s">
        <v>248</v>
      </c>
      <c r="C17" s="17"/>
      <c r="D17" s="17"/>
      <c r="E17" s="17"/>
      <c r="F17" s="18"/>
      <c r="G17" s="96"/>
      <c r="H17" s="17"/>
      <c r="I17" s="18"/>
      <c r="J17" s="97" t="str">
        <f>IF(AND(B17&lt;&gt;"",G17&lt;&gt;""),IF(LOWER(TRIM(B17))=LOWER(TRIM(G17)),2,0),"")</f>
        <v/>
      </c>
      <c r="K17" s="17"/>
      <c r="L17" s="17"/>
      <c r="M17" s="18"/>
    </row>
    <row r="18" ht="21.75" customHeight="1">
      <c r="A18" s="28" t="s">
        <v>229</v>
      </c>
      <c r="B18" s="95" t="s">
        <v>249</v>
      </c>
      <c r="C18" s="17"/>
      <c r="D18" s="17"/>
      <c r="E18" s="17"/>
      <c r="F18" s="18"/>
      <c r="G18" s="96"/>
      <c r="H18" s="17"/>
      <c r="I18" s="18"/>
      <c r="J18" s="97"/>
      <c r="K18" s="17"/>
      <c r="L18" s="17"/>
      <c r="M18" s="18"/>
    </row>
    <row r="20" ht="21.75" customHeight="1">
      <c r="A20" s="98" t="s">
        <v>250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</row>
    <row r="21" ht="19.5" customHeight="1">
      <c r="A21" s="29" t="s">
        <v>232</v>
      </c>
      <c r="B21" s="17"/>
      <c r="C21" s="17"/>
      <c r="D21" s="17"/>
      <c r="E21" s="17"/>
      <c r="F21" s="17"/>
      <c r="G21" s="17"/>
      <c r="H21" s="17"/>
      <c r="I21" s="18"/>
      <c r="J21" s="99">
        <f>IFERROR(SUM(J5:J12),0)</f>
        <v>0</v>
      </c>
      <c r="K21" s="17"/>
      <c r="L21" s="17"/>
      <c r="M21" s="18"/>
    </row>
    <row r="22" ht="19.5" customHeight="1">
      <c r="A22" s="29" t="s">
        <v>233</v>
      </c>
      <c r="B22" s="17"/>
      <c r="C22" s="17"/>
      <c r="D22" s="17"/>
      <c r="E22" s="17"/>
      <c r="F22" s="17"/>
      <c r="G22" s="17"/>
      <c r="H22" s="17"/>
      <c r="I22" s="18"/>
      <c r="J22" s="99">
        <f>IFERROR(SUM(K5:K12),0)</f>
        <v>0</v>
      </c>
      <c r="K22" s="17"/>
      <c r="L22" s="17"/>
      <c r="M22" s="18"/>
    </row>
    <row r="23" ht="19.5" customHeight="1">
      <c r="A23" s="29" t="s">
        <v>234</v>
      </c>
      <c r="B23" s="17"/>
      <c r="C23" s="17"/>
      <c r="D23" s="17"/>
      <c r="E23" s="17"/>
      <c r="F23" s="17"/>
      <c r="G23" s="17"/>
      <c r="H23" s="17"/>
      <c r="I23" s="18"/>
      <c r="J23" s="99">
        <f>IFERROR(J16+J17,0)</f>
        <v>0</v>
      </c>
      <c r="K23" s="17"/>
      <c r="L23" s="17"/>
      <c r="M23" s="18"/>
    </row>
    <row r="24" ht="19.5" customHeight="1">
      <c r="A24" s="29" t="s">
        <v>235</v>
      </c>
      <c r="B24" s="17"/>
      <c r="C24" s="17"/>
      <c r="D24" s="17"/>
      <c r="E24" s="17"/>
      <c r="F24" s="17"/>
      <c r="G24" s="17"/>
      <c r="H24" s="17"/>
      <c r="I24" s="18"/>
      <c r="J24" s="99" t="str">
        <f>IFERROR(J18,0)</f>
        <v/>
      </c>
      <c r="K24" s="17"/>
      <c r="L24" s="17"/>
      <c r="M24" s="18"/>
    </row>
    <row r="25" ht="25.5" customHeight="1">
      <c r="A25" s="100" t="s">
        <v>236</v>
      </c>
      <c r="B25" s="17"/>
      <c r="C25" s="17"/>
      <c r="D25" s="17"/>
      <c r="E25" s="17"/>
      <c r="F25" s="17"/>
      <c r="G25" s="17"/>
      <c r="H25" s="17"/>
      <c r="I25" s="18"/>
      <c r="J25" s="101">
        <f>J21+J22+J23+J24</f>
        <v>0</v>
      </c>
      <c r="K25" s="17"/>
      <c r="L25" s="17"/>
      <c r="M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G15:I15"/>
    <mergeCell ref="J15:M15"/>
    <mergeCell ref="A1:M1"/>
    <mergeCell ref="A2:M2"/>
    <mergeCell ref="A4:M4"/>
    <mergeCell ref="A7:M7"/>
    <mergeCell ref="A10:M10"/>
    <mergeCell ref="A14:M14"/>
    <mergeCell ref="B15:F15"/>
    <mergeCell ref="G18:I18"/>
    <mergeCell ref="J18:M18"/>
    <mergeCell ref="B16:F16"/>
    <mergeCell ref="G16:I16"/>
    <mergeCell ref="J16:M16"/>
    <mergeCell ref="B17:F17"/>
    <mergeCell ref="G17:I17"/>
    <mergeCell ref="J17:M17"/>
    <mergeCell ref="B18:F18"/>
    <mergeCell ref="A24:I24"/>
    <mergeCell ref="J24:M24"/>
    <mergeCell ref="A25:I25"/>
    <mergeCell ref="J25:M25"/>
    <mergeCell ref="A20:M20"/>
    <mergeCell ref="A21:I21"/>
    <mergeCell ref="J21:M21"/>
    <mergeCell ref="A22:I22"/>
    <mergeCell ref="J22:M22"/>
    <mergeCell ref="A23:I23"/>
    <mergeCell ref="J23:M2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7.0"/>
    <col customWidth="1" min="3" max="5" width="7.0"/>
    <col customWidth="1" min="6" max="6" width="4.0"/>
    <col customWidth="1" min="7" max="7" width="17.0"/>
    <col customWidth="1" min="8" max="9" width="7.0"/>
    <col customWidth="1" min="10" max="11" width="8.0"/>
    <col customWidth="1" min="12" max="12" width="9.0"/>
    <col customWidth="1" min="13" max="13" width="7.0"/>
    <col customWidth="1" min="14" max="26" width="8.71"/>
  </cols>
  <sheetData>
    <row r="1" ht="31.5" customHeight="1">
      <c r="A1" s="67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1.5" customHeight="1">
      <c r="A2" s="68" t="s">
        <v>201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ht="39.75" customHeight="1">
      <c r="A3" s="69" t="s">
        <v>202</v>
      </c>
      <c r="B3" s="69" t="s">
        <v>69</v>
      </c>
      <c r="C3" s="70" t="s">
        <v>203</v>
      </c>
      <c r="D3" s="70" t="s">
        <v>204</v>
      </c>
      <c r="E3" s="70" t="s">
        <v>205</v>
      </c>
      <c r="F3" s="69" t="s">
        <v>70</v>
      </c>
      <c r="G3" s="69" t="s">
        <v>71</v>
      </c>
      <c r="H3" s="71" t="s">
        <v>206</v>
      </c>
      <c r="I3" s="71" t="s">
        <v>207</v>
      </c>
      <c r="J3" s="72" t="s">
        <v>208</v>
      </c>
      <c r="K3" s="72" t="s">
        <v>209</v>
      </c>
      <c r="L3" s="69" t="s">
        <v>67</v>
      </c>
      <c r="M3" s="69" t="s">
        <v>210</v>
      </c>
    </row>
    <row r="4" ht="18.0" customHeight="1">
      <c r="A4" s="39" t="s">
        <v>211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ht="21.75" customHeight="1">
      <c r="A5" s="73">
        <v>1.0</v>
      </c>
      <c r="B5" s="74" t="s">
        <v>90</v>
      </c>
      <c r="C5" s="75">
        <v>1.0</v>
      </c>
      <c r="D5" s="75">
        <v>2.0</v>
      </c>
      <c r="E5" s="75" t="s">
        <v>213</v>
      </c>
      <c r="F5" s="76" t="s">
        <v>70</v>
      </c>
      <c r="G5" s="77" t="s">
        <v>91</v>
      </c>
      <c r="H5" s="78"/>
      <c r="I5" s="78"/>
      <c r="J5" s="79" t="str">
        <f t="shared" ref="J5:J6" si="1">IF(AND(H5&lt;&gt;"",I5&lt;&gt;"",E5&lt;&gt;""),IF(OR(AND(UPPER(E5)="1",H5&gt;I5),AND(UPPER(E5)="X",H5=I5),AND(UPPER(E5)="2",H5&lt;I5)),1,0),"")</f>
        <v/>
      </c>
      <c r="K5" s="79" t="str">
        <f t="shared" ref="K5:K6" si="2">IF(AND(H5&lt;&gt;"",I5&lt;&gt;"",C5&lt;&gt;"",D5&lt;&gt;""),IF(AND(H5=C5,I5=D5),3,0),"")</f>
        <v/>
      </c>
      <c r="L5" s="80" t="s">
        <v>238</v>
      </c>
      <c r="M5" s="89" t="s">
        <v>89</v>
      </c>
    </row>
    <row r="6" ht="21.75" customHeight="1">
      <c r="A6" s="82">
        <v>1.0</v>
      </c>
      <c r="B6" s="83" t="s">
        <v>94</v>
      </c>
      <c r="C6" s="75">
        <v>0.0</v>
      </c>
      <c r="D6" s="75">
        <v>2.0</v>
      </c>
      <c r="E6" s="75">
        <v>2.0</v>
      </c>
      <c r="F6" s="84" t="s">
        <v>70</v>
      </c>
      <c r="G6" s="85" t="s">
        <v>95</v>
      </c>
      <c r="H6" s="78"/>
      <c r="I6" s="78"/>
      <c r="J6" s="86" t="str">
        <f t="shared" si="1"/>
        <v/>
      </c>
      <c r="K6" s="86" t="str">
        <f t="shared" si="2"/>
        <v/>
      </c>
      <c r="L6" s="87" t="s">
        <v>238</v>
      </c>
      <c r="M6" s="88" t="s">
        <v>93</v>
      </c>
    </row>
    <row r="7" ht="18.0" customHeight="1">
      <c r="A7" s="39" t="s">
        <v>215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ht="21.75" customHeight="1">
      <c r="A8" s="82">
        <v>2.0</v>
      </c>
      <c r="B8" s="83" t="s">
        <v>90</v>
      </c>
      <c r="C8" s="75">
        <v>2.0</v>
      </c>
      <c r="D8" s="75">
        <v>0.0</v>
      </c>
      <c r="E8" s="75" t="s">
        <v>213</v>
      </c>
      <c r="F8" s="84" t="s">
        <v>70</v>
      </c>
      <c r="G8" s="85" t="s">
        <v>94</v>
      </c>
      <c r="H8" s="78"/>
      <c r="I8" s="78"/>
      <c r="J8" s="86" t="str">
        <f t="shared" ref="J8:J9" si="3">IF(AND(H8&lt;&gt;"",I8&lt;&gt;"",E8&lt;&gt;""),IF(OR(AND(UPPER(E8)="1",H8&gt;I8),AND(UPPER(E8)="X",H8=I8),AND(UPPER(E8)="2",H8&lt;I8)),1,0),"")</f>
        <v/>
      </c>
      <c r="K8" s="86" t="str">
        <f t="shared" ref="K8:K9" si="4">IF(AND(H8&lt;&gt;"",I8&lt;&gt;"",C8&lt;&gt;"",D8&lt;&gt;""),IF(AND(H8=C8,I8=D8),3,0),"")</f>
        <v/>
      </c>
      <c r="L8" s="87" t="s">
        <v>216</v>
      </c>
      <c r="M8" s="102" t="s">
        <v>75</v>
      </c>
    </row>
    <row r="9" ht="21.75" customHeight="1">
      <c r="A9" s="73">
        <v>2.0</v>
      </c>
      <c r="B9" s="74" t="s">
        <v>95</v>
      </c>
      <c r="C9" s="75">
        <v>0.0</v>
      </c>
      <c r="D9" s="75">
        <v>2.0</v>
      </c>
      <c r="E9" s="75">
        <v>2.0</v>
      </c>
      <c r="F9" s="76" t="s">
        <v>70</v>
      </c>
      <c r="G9" s="77" t="s">
        <v>91</v>
      </c>
      <c r="H9" s="78"/>
      <c r="I9" s="78"/>
      <c r="J9" s="79" t="str">
        <f t="shared" si="3"/>
        <v/>
      </c>
      <c r="K9" s="79" t="str">
        <f t="shared" si="4"/>
        <v/>
      </c>
      <c r="L9" s="80" t="s">
        <v>216</v>
      </c>
      <c r="M9" s="89" t="s">
        <v>93</v>
      </c>
    </row>
    <row r="10" ht="18.0" customHeight="1">
      <c r="A10" s="39" t="s">
        <v>218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ht="21.75" customHeight="1">
      <c r="A11" s="73">
        <v>3.0</v>
      </c>
      <c r="B11" s="74" t="s">
        <v>95</v>
      </c>
      <c r="C11" s="75">
        <v>1.0</v>
      </c>
      <c r="D11" s="75">
        <v>1.0</v>
      </c>
      <c r="E11" s="75">
        <v>1.0</v>
      </c>
      <c r="F11" s="76" t="s">
        <v>70</v>
      </c>
      <c r="G11" s="77" t="s">
        <v>90</v>
      </c>
      <c r="H11" s="78"/>
      <c r="I11" s="78"/>
      <c r="J11" s="79" t="str">
        <f t="shared" ref="J11:J12" si="5">IF(AND(H11&lt;&gt;"",I11&lt;&gt;"",E11&lt;&gt;""),IF(OR(AND(UPPER(E11)="1",H11&gt;I11),AND(UPPER(E11)="X",H11=I11),AND(UPPER(E11)="2",H11&lt;I11)),1,0),"")</f>
        <v/>
      </c>
      <c r="K11" s="79" t="str">
        <f t="shared" ref="K11:K12" si="6">IF(AND(H11&lt;&gt;"",I11&lt;&gt;"",C11&lt;&gt;"",D11&lt;&gt;""),IF(AND(H11=C11,I11=D11),3,0),"")</f>
        <v/>
      </c>
      <c r="L11" s="80" t="s">
        <v>252</v>
      </c>
      <c r="M11" s="89" t="s">
        <v>81</v>
      </c>
    </row>
    <row r="12" ht="21.75" customHeight="1">
      <c r="A12" s="82">
        <v>3.0</v>
      </c>
      <c r="B12" s="83" t="s">
        <v>91</v>
      </c>
      <c r="C12" s="75">
        <v>1.0</v>
      </c>
      <c r="D12" s="75">
        <v>0.0</v>
      </c>
      <c r="E12" s="75">
        <v>1.0</v>
      </c>
      <c r="F12" s="84" t="s">
        <v>70</v>
      </c>
      <c r="G12" s="85" t="s">
        <v>94</v>
      </c>
      <c r="H12" s="78"/>
      <c r="I12" s="78"/>
      <c r="J12" s="86" t="str">
        <f t="shared" si="5"/>
        <v/>
      </c>
      <c r="K12" s="86" t="str">
        <f t="shared" si="6"/>
        <v/>
      </c>
      <c r="L12" s="87" t="s">
        <v>252</v>
      </c>
      <c r="M12" s="88" t="s">
        <v>81</v>
      </c>
    </row>
    <row r="14" ht="21.75" customHeight="1">
      <c r="A14" s="90" t="s">
        <v>220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ht="21.75" customHeight="1">
      <c r="A15" s="91" t="s">
        <v>221</v>
      </c>
      <c r="B15" s="92" t="s">
        <v>222</v>
      </c>
      <c r="C15" s="17"/>
      <c r="D15" s="17"/>
      <c r="E15" s="17"/>
      <c r="F15" s="18"/>
      <c r="G15" s="93" t="s">
        <v>223</v>
      </c>
      <c r="H15" s="17"/>
      <c r="I15" s="18"/>
      <c r="J15" s="94" t="s">
        <v>224</v>
      </c>
      <c r="K15" s="17"/>
      <c r="L15" s="17"/>
      <c r="M15" s="18"/>
    </row>
    <row r="16" ht="21.75" customHeight="1">
      <c r="A16" s="28" t="s">
        <v>225</v>
      </c>
      <c r="B16" s="95" t="s">
        <v>253</v>
      </c>
      <c r="C16" s="17"/>
      <c r="D16" s="17"/>
      <c r="E16" s="17"/>
      <c r="F16" s="18"/>
      <c r="G16" s="96"/>
      <c r="H16" s="17"/>
      <c r="I16" s="18"/>
      <c r="J16" s="97" t="str">
        <f>IF(AND(B16&lt;&gt;"",G16&lt;&gt;""),IF(LOWER(TRIM(B16))=LOWER(TRIM(G16)),4,0),"")</f>
        <v/>
      </c>
      <c r="K16" s="17"/>
      <c r="L16" s="17"/>
      <c r="M16" s="18"/>
    </row>
    <row r="17" ht="21.75" customHeight="1">
      <c r="A17" s="28" t="s">
        <v>227</v>
      </c>
      <c r="B17" s="95" t="s">
        <v>254</v>
      </c>
      <c r="C17" s="17"/>
      <c r="D17" s="17"/>
      <c r="E17" s="17"/>
      <c r="F17" s="18"/>
      <c r="G17" s="96"/>
      <c r="H17" s="17"/>
      <c r="I17" s="18"/>
      <c r="J17" s="97" t="str">
        <f>IF(AND(B17&lt;&gt;"",G17&lt;&gt;""),IF(LOWER(TRIM(B17))=LOWER(TRIM(G17)),2,0),"")</f>
        <v/>
      </c>
      <c r="K17" s="17"/>
      <c r="L17" s="17"/>
      <c r="M17" s="18"/>
    </row>
    <row r="18" ht="21.75" customHeight="1">
      <c r="A18" s="28" t="s">
        <v>229</v>
      </c>
      <c r="B18" s="95" t="s">
        <v>255</v>
      </c>
      <c r="C18" s="17"/>
      <c r="D18" s="17"/>
      <c r="E18" s="17"/>
      <c r="F18" s="18"/>
      <c r="G18" s="96"/>
      <c r="H18" s="17"/>
      <c r="I18" s="18"/>
      <c r="J18" s="97"/>
      <c r="K18" s="17"/>
      <c r="L18" s="17"/>
      <c r="M18" s="18"/>
    </row>
    <row r="20" ht="21.75" customHeight="1">
      <c r="A20" s="98" t="s">
        <v>256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</row>
    <row r="21" ht="19.5" customHeight="1">
      <c r="A21" s="29" t="s">
        <v>232</v>
      </c>
      <c r="B21" s="17"/>
      <c r="C21" s="17"/>
      <c r="D21" s="17"/>
      <c r="E21" s="17"/>
      <c r="F21" s="17"/>
      <c r="G21" s="17"/>
      <c r="H21" s="17"/>
      <c r="I21" s="18"/>
      <c r="J21" s="99">
        <f>IFERROR(SUM(J5:J12),0)</f>
        <v>0</v>
      </c>
      <c r="K21" s="17"/>
      <c r="L21" s="17"/>
      <c r="M21" s="18"/>
    </row>
    <row r="22" ht="19.5" customHeight="1">
      <c r="A22" s="29" t="s">
        <v>233</v>
      </c>
      <c r="B22" s="17"/>
      <c r="C22" s="17"/>
      <c r="D22" s="17"/>
      <c r="E22" s="17"/>
      <c r="F22" s="17"/>
      <c r="G22" s="17"/>
      <c r="H22" s="17"/>
      <c r="I22" s="18"/>
      <c r="J22" s="99">
        <f>IFERROR(SUM(K5:K12),0)</f>
        <v>0</v>
      </c>
      <c r="K22" s="17"/>
      <c r="L22" s="17"/>
      <c r="M22" s="18"/>
    </row>
    <row r="23" ht="19.5" customHeight="1">
      <c r="A23" s="29" t="s">
        <v>234</v>
      </c>
      <c r="B23" s="17"/>
      <c r="C23" s="17"/>
      <c r="D23" s="17"/>
      <c r="E23" s="17"/>
      <c r="F23" s="17"/>
      <c r="G23" s="17"/>
      <c r="H23" s="17"/>
      <c r="I23" s="18"/>
      <c r="J23" s="99">
        <f>IFERROR(J16+J17,0)</f>
        <v>0</v>
      </c>
      <c r="K23" s="17"/>
      <c r="L23" s="17"/>
      <c r="M23" s="18"/>
    </row>
    <row r="24" ht="19.5" customHeight="1">
      <c r="A24" s="29" t="s">
        <v>235</v>
      </c>
      <c r="B24" s="17"/>
      <c r="C24" s="17"/>
      <c r="D24" s="17"/>
      <c r="E24" s="17"/>
      <c r="F24" s="17"/>
      <c r="G24" s="17"/>
      <c r="H24" s="17"/>
      <c r="I24" s="18"/>
      <c r="J24" s="99" t="str">
        <f>IFERROR(J18,0)</f>
        <v/>
      </c>
      <c r="K24" s="17"/>
      <c r="L24" s="17"/>
      <c r="M24" s="18"/>
    </row>
    <row r="25" ht="25.5" customHeight="1">
      <c r="A25" s="100" t="s">
        <v>236</v>
      </c>
      <c r="B25" s="17"/>
      <c r="C25" s="17"/>
      <c r="D25" s="17"/>
      <c r="E25" s="17"/>
      <c r="F25" s="17"/>
      <c r="G25" s="17"/>
      <c r="H25" s="17"/>
      <c r="I25" s="18"/>
      <c r="J25" s="101">
        <f>J21+J22+J23+J24</f>
        <v>0</v>
      </c>
      <c r="K25" s="17"/>
      <c r="L25" s="17"/>
      <c r="M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G15:I15"/>
    <mergeCell ref="J15:M15"/>
    <mergeCell ref="A1:M1"/>
    <mergeCell ref="A2:M2"/>
    <mergeCell ref="A4:M4"/>
    <mergeCell ref="A7:M7"/>
    <mergeCell ref="A10:M10"/>
    <mergeCell ref="A14:M14"/>
    <mergeCell ref="B15:F15"/>
    <mergeCell ref="G18:I18"/>
    <mergeCell ref="J18:M18"/>
    <mergeCell ref="B16:F16"/>
    <mergeCell ref="G16:I16"/>
    <mergeCell ref="J16:M16"/>
    <mergeCell ref="B17:F17"/>
    <mergeCell ref="G17:I17"/>
    <mergeCell ref="J17:M17"/>
    <mergeCell ref="B18:F18"/>
    <mergeCell ref="A24:I24"/>
    <mergeCell ref="J24:M24"/>
    <mergeCell ref="A25:I25"/>
    <mergeCell ref="J25:M25"/>
    <mergeCell ref="A20:M20"/>
    <mergeCell ref="A21:I21"/>
    <mergeCell ref="J21:M21"/>
    <mergeCell ref="A22:I22"/>
    <mergeCell ref="J22:M22"/>
    <mergeCell ref="A23:I23"/>
    <mergeCell ref="J23:M2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7.0"/>
    <col customWidth="1" min="3" max="5" width="7.0"/>
    <col customWidth="1" min="6" max="6" width="4.0"/>
    <col customWidth="1" min="7" max="7" width="17.0"/>
    <col customWidth="1" min="8" max="9" width="7.0"/>
    <col customWidth="1" min="10" max="11" width="8.0"/>
    <col customWidth="1" min="12" max="12" width="9.0"/>
    <col customWidth="1" min="13" max="13" width="7.0"/>
    <col customWidth="1" min="14" max="26" width="8.71"/>
  </cols>
  <sheetData>
    <row r="1" ht="31.5" customHeight="1">
      <c r="A1" s="67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1.5" customHeight="1">
      <c r="A2" s="68" t="s">
        <v>201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ht="39.75" customHeight="1">
      <c r="A3" s="69" t="s">
        <v>202</v>
      </c>
      <c r="B3" s="69" t="s">
        <v>69</v>
      </c>
      <c r="C3" s="70" t="s">
        <v>203</v>
      </c>
      <c r="D3" s="70" t="s">
        <v>204</v>
      </c>
      <c r="E3" s="70" t="s">
        <v>205</v>
      </c>
      <c r="F3" s="69" t="s">
        <v>70</v>
      </c>
      <c r="G3" s="69" t="s">
        <v>71</v>
      </c>
      <c r="H3" s="71" t="s">
        <v>206</v>
      </c>
      <c r="I3" s="71" t="s">
        <v>207</v>
      </c>
      <c r="J3" s="72" t="s">
        <v>208</v>
      </c>
      <c r="K3" s="72" t="s">
        <v>209</v>
      </c>
      <c r="L3" s="69" t="s">
        <v>67</v>
      </c>
      <c r="M3" s="69" t="s">
        <v>210</v>
      </c>
    </row>
    <row r="4" ht="18.0" customHeight="1">
      <c r="A4" s="39" t="s">
        <v>211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ht="21.75" customHeight="1">
      <c r="A5" s="73">
        <v>1.0</v>
      </c>
      <c r="B5" s="74" t="s">
        <v>109</v>
      </c>
      <c r="C5" s="75">
        <v>4.0</v>
      </c>
      <c r="D5" s="75">
        <v>0.0</v>
      </c>
      <c r="E5" s="75">
        <v>1.0</v>
      </c>
      <c r="F5" s="76" t="s">
        <v>70</v>
      </c>
      <c r="G5" s="77" t="s">
        <v>110</v>
      </c>
      <c r="H5" s="78"/>
      <c r="I5" s="78"/>
      <c r="J5" s="79" t="str">
        <f t="shared" ref="J5:J6" si="1">IF(AND(H5&lt;&gt;"",I5&lt;&gt;"",E5&lt;&gt;""),IF(OR(AND(UPPER(E5)="1",H5&gt;I5),AND(UPPER(E5)="X",H5=I5),AND(UPPER(E5)="2",H5&lt;I5)),1,0),"")</f>
        <v/>
      </c>
      <c r="K5" s="79" t="str">
        <f t="shared" ref="K5:K6" si="2">IF(AND(H5&lt;&gt;"",I5&lt;&gt;"",C5&lt;&gt;"",D5&lt;&gt;""),IF(AND(H5=C5,I5=D5),3,0),"")</f>
        <v/>
      </c>
      <c r="L5" s="80" t="s">
        <v>245</v>
      </c>
      <c r="M5" s="81" t="s">
        <v>108</v>
      </c>
    </row>
    <row r="6" ht="21.75" customHeight="1">
      <c r="A6" s="82">
        <v>1.0</v>
      </c>
      <c r="B6" s="83" t="s">
        <v>118</v>
      </c>
      <c r="C6" s="75">
        <v>1.0</v>
      </c>
      <c r="D6" s="75">
        <v>1.0</v>
      </c>
      <c r="E6" s="75">
        <v>2.0</v>
      </c>
      <c r="F6" s="84" t="s">
        <v>70</v>
      </c>
      <c r="G6" s="85" t="s">
        <v>119</v>
      </c>
      <c r="H6" s="78"/>
      <c r="I6" s="78"/>
      <c r="J6" s="86" t="str">
        <f t="shared" si="1"/>
        <v/>
      </c>
      <c r="K6" s="86" t="str">
        <f t="shared" si="2"/>
        <v/>
      </c>
      <c r="L6" s="87" t="s">
        <v>258</v>
      </c>
      <c r="M6" s="88" t="s">
        <v>117</v>
      </c>
    </row>
    <row r="7" ht="18.0" customHeight="1">
      <c r="A7" s="39" t="s">
        <v>215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ht="21.75" customHeight="1">
      <c r="A8" s="82">
        <v>2.0</v>
      </c>
      <c r="B8" s="83" t="s">
        <v>109</v>
      </c>
      <c r="C8" s="75">
        <v>2.0</v>
      </c>
      <c r="D8" s="75">
        <v>0.0</v>
      </c>
      <c r="E8" s="75">
        <v>1.0</v>
      </c>
      <c r="F8" s="84" t="s">
        <v>70</v>
      </c>
      <c r="G8" s="85" t="s">
        <v>118</v>
      </c>
      <c r="H8" s="78"/>
      <c r="I8" s="78"/>
      <c r="J8" s="86" t="str">
        <f t="shared" ref="J8:J9" si="3">IF(AND(H8&lt;&gt;"",I8&lt;&gt;"",E8&lt;&gt;""),IF(OR(AND(UPPER(E8)="1",H8&gt;I8),AND(UPPER(E8)="X",H8=I8),AND(UPPER(E8)="2",H8&lt;I8)),1,0),"")</f>
        <v/>
      </c>
      <c r="K8" s="86" t="str">
        <f t="shared" ref="K8:K9" si="4">IF(AND(H8&lt;&gt;"",I8&lt;&gt;"",C8&lt;&gt;"",D8&lt;&gt;""),IF(AND(H8=C8,I8=D8),3,0),"")</f>
        <v/>
      </c>
      <c r="L8" s="87" t="s">
        <v>246</v>
      </c>
      <c r="M8" s="102" t="s">
        <v>112</v>
      </c>
    </row>
    <row r="9" ht="21.75" customHeight="1">
      <c r="A9" s="73">
        <v>2.0</v>
      </c>
      <c r="B9" s="74" t="s">
        <v>119</v>
      </c>
      <c r="C9" s="75">
        <v>2.0</v>
      </c>
      <c r="D9" s="75">
        <v>0.0</v>
      </c>
      <c r="E9" s="75" t="s">
        <v>213</v>
      </c>
      <c r="F9" s="76" t="s">
        <v>70</v>
      </c>
      <c r="G9" s="77" t="s">
        <v>110</v>
      </c>
      <c r="H9" s="78"/>
      <c r="I9" s="78"/>
      <c r="J9" s="79" t="str">
        <f t="shared" si="3"/>
        <v/>
      </c>
      <c r="K9" s="79" t="str">
        <f t="shared" si="4"/>
        <v/>
      </c>
      <c r="L9" s="80" t="s">
        <v>259</v>
      </c>
      <c r="M9" s="89" t="s">
        <v>160</v>
      </c>
    </row>
    <row r="10" ht="18.0" customHeight="1">
      <c r="A10" s="39" t="s">
        <v>218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ht="21.75" customHeight="1">
      <c r="A11" s="73">
        <v>3.0</v>
      </c>
      <c r="B11" s="74" t="s">
        <v>119</v>
      </c>
      <c r="C11" s="75">
        <v>1.0</v>
      </c>
      <c r="D11" s="75">
        <v>1.0</v>
      </c>
      <c r="E11" s="75" t="s">
        <v>213</v>
      </c>
      <c r="F11" s="76" t="s">
        <v>70</v>
      </c>
      <c r="G11" s="77" t="s">
        <v>109</v>
      </c>
      <c r="H11" s="78"/>
      <c r="I11" s="78"/>
      <c r="J11" s="79" t="str">
        <f t="shared" ref="J11:J12" si="5">IF(AND(H11&lt;&gt;"",I11&lt;&gt;"",E11&lt;&gt;""),IF(OR(AND(UPPER(E11)="1",H11&gt;I11),AND(UPPER(E11)="X",H11=I11),AND(UPPER(E11)="2",H11&lt;I11)),1,0),"")</f>
        <v/>
      </c>
      <c r="K11" s="79" t="str">
        <f t="shared" ref="K11:K12" si="6">IF(AND(H11&lt;&gt;"",I11&lt;&gt;"",C11&lt;&gt;"",D11&lt;&gt;""),IF(AND(H11=C11,I11=D11),3,0),"")</f>
        <v/>
      </c>
      <c r="L11" s="80" t="s">
        <v>219</v>
      </c>
      <c r="M11" s="81" t="s">
        <v>112</v>
      </c>
    </row>
    <row r="12" ht="21.75" customHeight="1">
      <c r="A12" s="82">
        <v>3.0</v>
      </c>
      <c r="B12" s="83" t="s">
        <v>110</v>
      </c>
      <c r="C12" s="75">
        <v>0.0</v>
      </c>
      <c r="D12" s="75">
        <v>2.0</v>
      </c>
      <c r="E12" s="75" t="s">
        <v>213</v>
      </c>
      <c r="F12" s="84" t="s">
        <v>70</v>
      </c>
      <c r="G12" s="85" t="s">
        <v>118</v>
      </c>
      <c r="H12" s="78"/>
      <c r="I12" s="78"/>
      <c r="J12" s="86" t="str">
        <f t="shared" si="5"/>
        <v/>
      </c>
      <c r="K12" s="86" t="str">
        <f t="shared" si="6"/>
        <v/>
      </c>
      <c r="L12" s="87" t="s">
        <v>219</v>
      </c>
      <c r="M12" s="102" t="s">
        <v>112</v>
      </c>
    </row>
    <row r="14" ht="21.75" customHeight="1">
      <c r="A14" s="90" t="s">
        <v>220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ht="21.75" customHeight="1">
      <c r="A15" s="91" t="s">
        <v>221</v>
      </c>
      <c r="B15" s="92" t="s">
        <v>222</v>
      </c>
      <c r="C15" s="17"/>
      <c r="D15" s="17"/>
      <c r="E15" s="17"/>
      <c r="F15" s="18"/>
      <c r="G15" s="93" t="s">
        <v>223</v>
      </c>
      <c r="H15" s="17"/>
      <c r="I15" s="18"/>
      <c r="J15" s="94" t="s">
        <v>224</v>
      </c>
      <c r="K15" s="17"/>
      <c r="L15" s="17"/>
      <c r="M15" s="18"/>
    </row>
    <row r="16" ht="21.75" customHeight="1">
      <c r="A16" s="28" t="s">
        <v>225</v>
      </c>
      <c r="B16" s="95" t="s">
        <v>260</v>
      </c>
      <c r="C16" s="17"/>
      <c r="D16" s="17"/>
      <c r="E16" s="17"/>
      <c r="F16" s="18"/>
      <c r="G16" s="96"/>
      <c r="H16" s="17"/>
      <c r="I16" s="18"/>
      <c r="J16" s="97" t="str">
        <f>IF(AND(B16&lt;&gt;"",G16&lt;&gt;""),IF(LOWER(TRIM(B16))=LOWER(TRIM(G16)),4,0),"")</f>
        <v/>
      </c>
      <c r="K16" s="17"/>
      <c r="L16" s="17"/>
      <c r="M16" s="18"/>
    </row>
    <row r="17" ht="21.75" customHeight="1">
      <c r="A17" s="28" t="s">
        <v>227</v>
      </c>
      <c r="B17" s="95" t="s">
        <v>261</v>
      </c>
      <c r="C17" s="17"/>
      <c r="D17" s="17"/>
      <c r="E17" s="17"/>
      <c r="F17" s="18"/>
      <c r="G17" s="96"/>
      <c r="H17" s="17"/>
      <c r="I17" s="18"/>
      <c r="J17" s="97" t="str">
        <f>IF(AND(B17&lt;&gt;"",G17&lt;&gt;""),IF(LOWER(TRIM(B17))=LOWER(TRIM(G17)),2,0),"")</f>
        <v/>
      </c>
      <c r="K17" s="17"/>
      <c r="L17" s="17"/>
      <c r="M17" s="18"/>
    </row>
    <row r="18" ht="21.75" customHeight="1">
      <c r="A18" s="28" t="s">
        <v>229</v>
      </c>
      <c r="B18" s="95" t="s">
        <v>262</v>
      </c>
      <c r="C18" s="17"/>
      <c r="D18" s="17"/>
      <c r="E18" s="17"/>
      <c r="F18" s="18"/>
      <c r="G18" s="96"/>
      <c r="H18" s="17"/>
      <c r="I18" s="18"/>
      <c r="J18" s="97"/>
      <c r="K18" s="17"/>
      <c r="L18" s="17"/>
      <c r="M18" s="18"/>
    </row>
    <row r="20" ht="21.75" customHeight="1">
      <c r="A20" s="98" t="s">
        <v>263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</row>
    <row r="21" ht="19.5" customHeight="1">
      <c r="A21" s="29" t="s">
        <v>232</v>
      </c>
      <c r="B21" s="17"/>
      <c r="C21" s="17"/>
      <c r="D21" s="17"/>
      <c r="E21" s="17"/>
      <c r="F21" s="17"/>
      <c r="G21" s="17"/>
      <c r="H21" s="17"/>
      <c r="I21" s="18"/>
      <c r="J21" s="99">
        <f>IFERROR(SUM(J5:J12),0)</f>
        <v>0</v>
      </c>
      <c r="K21" s="17"/>
      <c r="L21" s="17"/>
      <c r="M21" s="18"/>
    </row>
    <row r="22" ht="19.5" customHeight="1">
      <c r="A22" s="29" t="s">
        <v>233</v>
      </c>
      <c r="B22" s="17"/>
      <c r="C22" s="17"/>
      <c r="D22" s="17"/>
      <c r="E22" s="17"/>
      <c r="F22" s="17"/>
      <c r="G22" s="17"/>
      <c r="H22" s="17"/>
      <c r="I22" s="18"/>
      <c r="J22" s="99">
        <f>IFERROR(SUM(K5:K12),0)</f>
        <v>0</v>
      </c>
      <c r="K22" s="17"/>
      <c r="L22" s="17"/>
      <c r="M22" s="18"/>
    </row>
    <row r="23" ht="19.5" customHeight="1">
      <c r="A23" s="29" t="s">
        <v>234</v>
      </c>
      <c r="B23" s="17"/>
      <c r="C23" s="17"/>
      <c r="D23" s="17"/>
      <c r="E23" s="17"/>
      <c r="F23" s="17"/>
      <c r="G23" s="17"/>
      <c r="H23" s="17"/>
      <c r="I23" s="18"/>
      <c r="J23" s="99">
        <f>IFERROR(J16+J17,0)</f>
        <v>0</v>
      </c>
      <c r="K23" s="17"/>
      <c r="L23" s="17"/>
      <c r="M23" s="18"/>
    </row>
    <row r="24" ht="19.5" customHeight="1">
      <c r="A24" s="29" t="s">
        <v>235</v>
      </c>
      <c r="B24" s="17"/>
      <c r="C24" s="17"/>
      <c r="D24" s="17"/>
      <c r="E24" s="17"/>
      <c r="F24" s="17"/>
      <c r="G24" s="17"/>
      <c r="H24" s="17"/>
      <c r="I24" s="18"/>
      <c r="J24" s="99" t="str">
        <f>IFERROR(J18,0)</f>
        <v/>
      </c>
      <c r="K24" s="17"/>
      <c r="L24" s="17"/>
      <c r="M24" s="18"/>
    </row>
    <row r="25" ht="25.5" customHeight="1">
      <c r="A25" s="100" t="s">
        <v>236</v>
      </c>
      <c r="B25" s="17"/>
      <c r="C25" s="17"/>
      <c r="D25" s="17"/>
      <c r="E25" s="17"/>
      <c r="F25" s="17"/>
      <c r="G25" s="17"/>
      <c r="H25" s="17"/>
      <c r="I25" s="18"/>
      <c r="J25" s="101">
        <f>J21+J22+J23+J24</f>
        <v>0</v>
      </c>
      <c r="K25" s="17"/>
      <c r="L25" s="17"/>
      <c r="M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G15:I15"/>
    <mergeCell ref="J15:M15"/>
    <mergeCell ref="A1:M1"/>
    <mergeCell ref="A2:M2"/>
    <mergeCell ref="A4:M4"/>
    <mergeCell ref="A7:M7"/>
    <mergeCell ref="A10:M10"/>
    <mergeCell ref="A14:M14"/>
    <mergeCell ref="B15:F15"/>
    <mergeCell ref="G18:I18"/>
    <mergeCell ref="J18:M18"/>
    <mergeCell ref="B16:F16"/>
    <mergeCell ref="G16:I16"/>
    <mergeCell ref="J16:M16"/>
    <mergeCell ref="B17:F17"/>
    <mergeCell ref="G17:I17"/>
    <mergeCell ref="J17:M17"/>
    <mergeCell ref="B18:F18"/>
    <mergeCell ref="A24:I24"/>
    <mergeCell ref="J24:M24"/>
    <mergeCell ref="A25:I25"/>
    <mergeCell ref="J25:M25"/>
    <mergeCell ref="A20:M20"/>
    <mergeCell ref="A21:I21"/>
    <mergeCell ref="J21:M21"/>
    <mergeCell ref="A22:I22"/>
    <mergeCell ref="J22:M22"/>
    <mergeCell ref="A23:I23"/>
    <mergeCell ref="J23:M2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7.0"/>
    <col customWidth="1" min="3" max="5" width="7.0"/>
    <col customWidth="1" min="6" max="6" width="4.0"/>
    <col customWidth="1" min="7" max="7" width="17.0"/>
    <col customWidth="1" min="8" max="9" width="7.0"/>
    <col customWidth="1" min="10" max="11" width="8.0"/>
    <col customWidth="1" min="12" max="12" width="9.0"/>
    <col customWidth="1" min="13" max="13" width="7.0"/>
    <col customWidth="1" min="14" max="26" width="8.71"/>
  </cols>
  <sheetData>
    <row r="1" ht="31.5" customHeight="1">
      <c r="A1" s="67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1.5" customHeight="1">
      <c r="A2" s="68" t="s">
        <v>201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ht="39.75" customHeight="1">
      <c r="A3" s="69" t="s">
        <v>202</v>
      </c>
      <c r="B3" s="69" t="s">
        <v>69</v>
      </c>
      <c r="C3" s="70" t="s">
        <v>203</v>
      </c>
      <c r="D3" s="70" t="s">
        <v>204</v>
      </c>
      <c r="E3" s="70" t="s">
        <v>205</v>
      </c>
      <c r="F3" s="69" t="s">
        <v>70</v>
      </c>
      <c r="G3" s="69" t="s">
        <v>71</v>
      </c>
      <c r="H3" s="71" t="s">
        <v>206</v>
      </c>
      <c r="I3" s="71" t="s">
        <v>207</v>
      </c>
      <c r="J3" s="72" t="s">
        <v>208</v>
      </c>
      <c r="K3" s="72" t="s">
        <v>209</v>
      </c>
      <c r="L3" s="69" t="s">
        <v>67</v>
      </c>
      <c r="M3" s="69" t="s">
        <v>210</v>
      </c>
    </row>
    <row r="4" ht="18.0" customHeight="1">
      <c r="A4" s="39" t="s">
        <v>211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ht="21.75" customHeight="1">
      <c r="A5" s="73">
        <v>1.0</v>
      </c>
      <c r="B5" s="74" t="s">
        <v>113</v>
      </c>
      <c r="C5" s="104">
        <v>1.0</v>
      </c>
      <c r="D5" s="75">
        <v>1.0</v>
      </c>
      <c r="E5" s="75">
        <v>2.0</v>
      </c>
      <c r="F5" s="76" t="s">
        <v>70</v>
      </c>
      <c r="G5" s="77" t="s">
        <v>114</v>
      </c>
      <c r="H5" s="78"/>
      <c r="I5" s="78"/>
      <c r="J5" s="79" t="str">
        <f t="shared" ref="J5:J6" si="1">IF(AND(H5&lt;&gt;"",I5&lt;&gt;"",E5&lt;&gt;""),IF(OR(AND(UPPER(E5)="1",H5&gt;I5),AND(UPPER(E5)="X",H5=I5),AND(UPPER(E5)="2",H5&lt;I5)),1,0),"")</f>
        <v/>
      </c>
      <c r="K5" s="79" t="str">
        <f t="shared" ref="K5:K6" si="2">IF(AND(H5&lt;&gt;"",I5&lt;&gt;"",C5&lt;&gt;"",D5&lt;&gt;""),IF(AND(H5=C5,I5=D5),3,0),"")</f>
        <v/>
      </c>
      <c r="L5" s="80" t="s">
        <v>245</v>
      </c>
      <c r="M5" s="81" t="s">
        <v>112</v>
      </c>
    </row>
    <row r="6" ht="21.75" customHeight="1">
      <c r="A6" s="82">
        <v>1.0</v>
      </c>
      <c r="B6" s="83" t="s">
        <v>121</v>
      </c>
      <c r="C6" s="75">
        <v>1.0</v>
      </c>
      <c r="D6" s="75">
        <v>2.0</v>
      </c>
      <c r="E6" s="75" t="s">
        <v>213</v>
      </c>
      <c r="F6" s="84" t="s">
        <v>70</v>
      </c>
      <c r="G6" s="85" t="s">
        <v>122</v>
      </c>
      <c r="H6" s="78"/>
      <c r="I6" s="78"/>
      <c r="J6" s="86" t="str">
        <f t="shared" si="1"/>
        <v/>
      </c>
      <c r="K6" s="86" t="str">
        <f t="shared" si="2"/>
        <v/>
      </c>
      <c r="L6" s="87" t="s">
        <v>258</v>
      </c>
      <c r="M6" s="88" t="s">
        <v>81</v>
      </c>
    </row>
    <row r="7" ht="18.0" customHeight="1">
      <c r="A7" s="39" t="s">
        <v>215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ht="21.75" customHeight="1">
      <c r="A8" s="82">
        <v>2.0</v>
      </c>
      <c r="B8" s="83" t="s">
        <v>113</v>
      </c>
      <c r="C8" s="75">
        <v>1.0</v>
      </c>
      <c r="D8" s="75">
        <v>0.0</v>
      </c>
      <c r="E8" s="75">
        <v>1.0</v>
      </c>
      <c r="F8" s="84" t="s">
        <v>70</v>
      </c>
      <c r="G8" s="85" t="s">
        <v>122</v>
      </c>
      <c r="H8" s="78"/>
      <c r="I8" s="78"/>
      <c r="J8" s="86" t="str">
        <f t="shared" ref="J8:J9" si="3">IF(AND(H8&lt;&gt;"",I8&lt;&gt;"",E8&lt;&gt;""),IF(OR(AND(UPPER(E8)="1",H8&gt;I8),AND(UPPER(E8)="X",H8=I8),AND(UPPER(E8)="2",H8&lt;I8)),1,0),"")</f>
        <v/>
      </c>
      <c r="K8" s="86" t="str">
        <f t="shared" ref="K8:K9" si="4">IF(AND(H8&lt;&gt;"",I8&lt;&gt;"",C8&lt;&gt;"",D8&lt;&gt;""),IF(AND(H8=C8,I8=D8),3,0),"")</f>
        <v/>
      </c>
      <c r="L8" s="87" t="s">
        <v>246</v>
      </c>
      <c r="M8" s="102" t="s">
        <v>108</v>
      </c>
    </row>
    <row r="9" ht="21.75" customHeight="1">
      <c r="A9" s="73">
        <v>2.0</v>
      </c>
      <c r="B9" s="74" t="s">
        <v>114</v>
      </c>
      <c r="C9" s="75">
        <v>2.0</v>
      </c>
      <c r="D9" s="75">
        <v>1.0</v>
      </c>
      <c r="E9" s="75">
        <v>1.0</v>
      </c>
      <c r="F9" s="76" t="s">
        <v>70</v>
      </c>
      <c r="G9" s="77" t="s">
        <v>121</v>
      </c>
      <c r="H9" s="78"/>
      <c r="I9" s="78"/>
      <c r="J9" s="79" t="str">
        <f t="shared" si="3"/>
        <v/>
      </c>
      <c r="K9" s="79" t="str">
        <f t="shared" si="4"/>
        <v/>
      </c>
      <c r="L9" s="80" t="s">
        <v>259</v>
      </c>
      <c r="M9" s="89" t="s">
        <v>93</v>
      </c>
    </row>
    <row r="10" ht="18.0" customHeight="1">
      <c r="A10" s="39" t="s">
        <v>218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ht="21.75" customHeight="1">
      <c r="A11" s="73">
        <v>3.0</v>
      </c>
      <c r="B11" s="74" t="s">
        <v>121</v>
      </c>
      <c r="C11" s="75">
        <v>1.0</v>
      </c>
      <c r="D11" s="75">
        <v>3.0</v>
      </c>
      <c r="E11" s="75">
        <v>2.0</v>
      </c>
      <c r="F11" s="76" t="s">
        <v>70</v>
      </c>
      <c r="G11" s="77" t="s">
        <v>113</v>
      </c>
      <c r="H11" s="78"/>
      <c r="I11" s="78"/>
      <c r="J11" s="79" t="str">
        <f t="shared" ref="J11:J12" si="5">IF(AND(H11&lt;&gt;"",I11&lt;&gt;"",E11&lt;&gt;""),IF(OR(AND(UPPER(E11)="1",H11&gt;I11),AND(UPPER(E11)="X",H11=I11),AND(UPPER(E11)="2",H11&lt;I11)),1,0),"")</f>
        <v/>
      </c>
      <c r="K11" s="79" t="str">
        <f t="shared" ref="K11:K12" si="6">IF(AND(H11&lt;&gt;"",I11&lt;&gt;"",C11&lt;&gt;"",D11&lt;&gt;""),IF(AND(H11=C11,I11=D11),3,0),"")</f>
        <v/>
      </c>
      <c r="L11" s="80" t="s">
        <v>252</v>
      </c>
      <c r="M11" s="89" t="s">
        <v>117</v>
      </c>
    </row>
    <row r="12" ht="21.75" customHeight="1">
      <c r="A12" s="82">
        <v>3.0</v>
      </c>
      <c r="B12" s="83" t="s">
        <v>122</v>
      </c>
      <c r="C12" s="75">
        <v>2.0</v>
      </c>
      <c r="D12" s="75">
        <v>2.0</v>
      </c>
      <c r="E12" s="75">
        <v>2.0</v>
      </c>
      <c r="F12" s="84" t="s">
        <v>70</v>
      </c>
      <c r="G12" s="85" t="s">
        <v>114</v>
      </c>
      <c r="H12" s="78"/>
      <c r="I12" s="78"/>
      <c r="J12" s="86" t="str">
        <f t="shared" si="5"/>
        <v/>
      </c>
      <c r="K12" s="86" t="str">
        <f t="shared" si="6"/>
        <v/>
      </c>
      <c r="L12" s="87" t="s">
        <v>252</v>
      </c>
      <c r="M12" s="88" t="s">
        <v>117</v>
      </c>
    </row>
    <row r="14" ht="21.75" customHeight="1">
      <c r="A14" s="90" t="s">
        <v>220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ht="21.75" customHeight="1">
      <c r="A15" s="91" t="s">
        <v>221</v>
      </c>
      <c r="B15" s="92" t="s">
        <v>222</v>
      </c>
      <c r="C15" s="17"/>
      <c r="D15" s="17"/>
      <c r="E15" s="17"/>
      <c r="F15" s="18"/>
      <c r="G15" s="93" t="s">
        <v>223</v>
      </c>
      <c r="H15" s="17"/>
      <c r="I15" s="18"/>
      <c r="J15" s="94" t="s">
        <v>224</v>
      </c>
      <c r="K15" s="17"/>
      <c r="L15" s="17"/>
      <c r="M15" s="18"/>
    </row>
    <row r="16" ht="21.75" customHeight="1">
      <c r="A16" s="28" t="s">
        <v>225</v>
      </c>
      <c r="B16" s="103" t="s">
        <v>265</v>
      </c>
      <c r="C16" s="17"/>
      <c r="D16" s="17"/>
      <c r="E16" s="17"/>
      <c r="F16" s="18"/>
      <c r="G16" s="96"/>
      <c r="H16" s="17"/>
      <c r="I16" s="18"/>
      <c r="J16" s="97" t="str">
        <f>IF(AND(B16&lt;&gt;"",G16&lt;&gt;""),IF(LOWER(TRIM(B16))=LOWER(TRIM(G16)),4,0),"")</f>
        <v/>
      </c>
      <c r="K16" s="17"/>
      <c r="L16" s="17"/>
      <c r="M16" s="18"/>
    </row>
    <row r="17" ht="21.75" customHeight="1">
      <c r="A17" s="28" t="s">
        <v>227</v>
      </c>
      <c r="B17" s="95" t="s">
        <v>266</v>
      </c>
      <c r="C17" s="17"/>
      <c r="D17" s="17"/>
      <c r="E17" s="17"/>
      <c r="F17" s="18"/>
      <c r="G17" s="96"/>
      <c r="H17" s="17"/>
      <c r="I17" s="18"/>
      <c r="J17" s="97" t="str">
        <f>IF(AND(B17&lt;&gt;"",G17&lt;&gt;""),IF(LOWER(TRIM(B17))=LOWER(TRIM(G17)),2,0),"")</f>
        <v/>
      </c>
      <c r="K17" s="17"/>
      <c r="L17" s="17"/>
      <c r="M17" s="18"/>
    </row>
    <row r="18" ht="21.75" customHeight="1">
      <c r="A18" s="28" t="s">
        <v>229</v>
      </c>
      <c r="B18" s="95" t="s">
        <v>267</v>
      </c>
      <c r="C18" s="17"/>
      <c r="D18" s="17"/>
      <c r="E18" s="17"/>
      <c r="F18" s="18"/>
      <c r="G18" s="96"/>
      <c r="H18" s="17"/>
      <c r="I18" s="18"/>
      <c r="J18" s="97"/>
      <c r="K18" s="17"/>
      <c r="L18" s="17"/>
      <c r="M18" s="18"/>
    </row>
    <row r="20" ht="21.75" customHeight="1">
      <c r="A20" s="98" t="s">
        <v>268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</row>
    <row r="21" ht="19.5" customHeight="1">
      <c r="A21" s="29" t="s">
        <v>232</v>
      </c>
      <c r="B21" s="17"/>
      <c r="C21" s="17"/>
      <c r="D21" s="17"/>
      <c r="E21" s="17"/>
      <c r="F21" s="17"/>
      <c r="G21" s="17"/>
      <c r="H21" s="17"/>
      <c r="I21" s="18"/>
      <c r="J21" s="99">
        <f>IFERROR(SUM(J5:J12),0)</f>
        <v>0</v>
      </c>
      <c r="K21" s="17"/>
      <c r="L21" s="17"/>
      <c r="M21" s="18"/>
    </row>
    <row r="22" ht="19.5" customHeight="1">
      <c r="A22" s="29" t="s">
        <v>233</v>
      </c>
      <c r="B22" s="17"/>
      <c r="C22" s="17"/>
      <c r="D22" s="17"/>
      <c r="E22" s="17"/>
      <c r="F22" s="17"/>
      <c r="G22" s="17"/>
      <c r="H22" s="17"/>
      <c r="I22" s="18"/>
      <c r="J22" s="99">
        <f>IFERROR(SUM(K5:K12),0)</f>
        <v>0</v>
      </c>
      <c r="K22" s="17"/>
      <c r="L22" s="17"/>
      <c r="M22" s="18"/>
    </row>
    <row r="23" ht="19.5" customHeight="1">
      <c r="A23" s="29" t="s">
        <v>234</v>
      </c>
      <c r="B23" s="17"/>
      <c r="C23" s="17"/>
      <c r="D23" s="17"/>
      <c r="E23" s="17"/>
      <c r="F23" s="17"/>
      <c r="G23" s="17"/>
      <c r="H23" s="17"/>
      <c r="I23" s="18"/>
      <c r="J23" s="99">
        <f>IFERROR(J16+J17,0)</f>
        <v>0</v>
      </c>
      <c r="K23" s="17"/>
      <c r="L23" s="17"/>
      <c r="M23" s="18"/>
    </row>
    <row r="24" ht="19.5" customHeight="1">
      <c r="A24" s="29" t="s">
        <v>235</v>
      </c>
      <c r="B24" s="17"/>
      <c r="C24" s="17"/>
      <c r="D24" s="17"/>
      <c r="E24" s="17"/>
      <c r="F24" s="17"/>
      <c r="G24" s="17"/>
      <c r="H24" s="17"/>
      <c r="I24" s="18"/>
      <c r="J24" s="99" t="str">
        <f>IFERROR(J18,0)</f>
        <v/>
      </c>
      <c r="K24" s="17"/>
      <c r="L24" s="17"/>
      <c r="M24" s="18"/>
    </row>
    <row r="25" ht="25.5" customHeight="1">
      <c r="A25" s="100" t="s">
        <v>236</v>
      </c>
      <c r="B25" s="17"/>
      <c r="C25" s="17"/>
      <c r="D25" s="17"/>
      <c r="E25" s="17"/>
      <c r="F25" s="17"/>
      <c r="G25" s="17"/>
      <c r="H25" s="17"/>
      <c r="I25" s="18"/>
      <c r="J25" s="101">
        <f>J21+J22+J23+J24</f>
        <v>0</v>
      </c>
      <c r="K25" s="17"/>
      <c r="L25" s="17"/>
      <c r="M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G15:I15"/>
    <mergeCell ref="J15:M15"/>
    <mergeCell ref="A1:M1"/>
    <mergeCell ref="A2:M2"/>
    <mergeCell ref="A4:M4"/>
    <mergeCell ref="A7:M7"/>
    <mergeCell ref="A10:M10"/>
    <mergeCell ref="A14:M14"/>
    <mergeCell ref="B15:F15"/>
    <mergeCell ref="G18:I18"/>
    <mergeCell ref="J18:M18"/>
    <mergeCell ref="B16:F16"/>
    <mergeCell ref="G16:I16"/>
    <mergeCell ref="J16:M16"/>
    <mergeCell ref="B17:F17"/>
    <mergeCell ref="G17:I17"/>
    <mergeCell ref="J17:M17"/>
    <mergeCell ref="B18:F18"/>
    <mergeCell ref="A24:I24"/>
    <mergeCell ref="J24:M24"/>
    <mergeCell ref="A25:I25"/>
    <mergeCell ref="J25:M25"/>
    <mergeCell ref="A20:M20"/>
    <mergeCell ref="A21:I21"/>
    <mergeCell ref="J21:M21"/>
    <mergeCell ref="A22:I22"/>
    <mergeCell ref="J22:M22"/>
    <mergeCell ref="A23:I23"/>
    <mergeCell ref="J23:M2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7.0"/>
    <col customWidth="1" min="3" max="5" width="7.0"/>
    <col customWidth="1" min="6" max="6" width="4.0"/>
    <col customWidth="1" min="7" max="7" width="17.0"/>
    <col customWidth="1" min="8" max="9" width="7.0"/>
    <col customWidth="1" min="10" max="11" width="8.0"/>
    <col customWidth="1" min="12" max="12" width="9.0"/>
    <col customWidth="1" min="13" max="13" width="7.0"/>
    <col customWidth="1" min="14" max="26" width="8.71"/>
  </cols>
  <sheetData>
    <row r="1" ht="31.5" customHeight="1">
      <c r="A1" s="67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1.5" customHeight="1">
      <c r="A2" s="68" t="s">
        <v>201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ht="39.75" customHeight="1">
      <c r="A3" s="69" t="s">
        <v>202</v>
      </c>
      <c r="B3" s="69" t="s">
        <v>69</v>
      </c>
      <c r="C3" s="70" t="s">
        <v>203</v>
      </c>
      <c r="D3" s="70" t="s">
        <v>204</v>
      </c>
      <c r="E3" s="70" t="s">
        <v>205</v>
      </c>
      <c r="F3" s="69" t="s">
        <v>70</v>
      </c>
      <c r="G3" s="69" t="s">
        <v>71</v>
      </c>
      <c r="H3" s="71" t="s">
        <v>206</v>
      </c>
      <c r="I3" s="71" t="s">
        <v>207</v>
      </c>
      <c r="J3" s="72" t="s">
        <v>208</v>
      </c>
      <c r="K3" s="72" t="s">
        <v>209</v>
      </c>
      <c r="L3" s="69" t="s">
        <v>67</v>
      </c>
      <c r="M3" s="69" t="s">
        <v>210</v>
      </c>
    </row>
    <row r="4" ht="18.0" customHeight="1">
      <c r="A4" s="39" t="s">
        <v>211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ht="21.75" customHeight="1">
      <c r="A5" s="73">
        <v>1.0</v>
      </c>
      <c r="B5" s="74" t="s">
        <v>128</v>
      </c>
      <c r="C5" s="75">
        <v>2.0</v>
      </c>
      <c r="D5" s="75">
        <v>1.0</v>
      </c>
      <c r="E5" s="75">
        <v>1.0</v>
      </c>
      <c r="F5" s="76" t="s">
        <v>70</v>
      </c>
      <c r="G5" s="77" t="s">
        <v>129</v>
      </c>
      <c r="H5" s="78"/>
      <c r="I5" s="78"/>
      <c r="J5" s="79" t="str">
        <f t="shared" ref="J5:J6" si="1">IF(AND(H5&lt;&gt;"",I5&lt;&gt;"",E5&lt;&gt;""),IF(OR(AND(UPPER(E5)="1",H5&gt;I5),AND(UPPER(E5)="X",H5=I5),AND(UPPER(E5)="2",H5&lt;I5)),1,0),"")</f>
        <v/>
      </c>
      <c r="K5" s="79" t="str">
        <f t="shared" ref="K5:K6" si="2">IF(AND(H5&lt;&gt;"",I5&lt;&gt;"",C5&lt;&gt;"",D5&lt;&gt;""),IF(AND(H5=C5,I5=D5),3,0),"")</f>
        <v/>
      </c>
      <c r="L5" s="80" t="s">
        <v>258</v>
      </c>
      <c r="M5" s="81" t="s">
        <v>75</v>
      </c>
    </row>
    <row r="6" ht="21.75" customHeight="1">
      <c r="A6" s="82">
        <v>1.0</v>
      </c>
      <c r="B6" s="83" t="s">
        <v>134</v>
      </c>
      <c r="C6" s="75">
        <v>1.0</v>
      </c>
      <c r="D6" s="75">
        <v>0.0</v>
      </c>
      <c r="E6" s="75">
        <v>1.0</v>
      </c>
      <c r="F6" s="84" t="s">
        <v>70</v>
      </c>
      <c r="G6" s="85" t="s">
        <v>135</v>
      </c>
      <c r="H6" s="78"/>
      <c r="I6" s="78"/>
      <c r="J6" s="86" t="str">
        <f t="shared" si="1"/>
        <v/>
      </c>
      <c r="K6" s="86" t="str">
        <f t="shared" si="2"/>
        <v/>
      </c>
      <c r="L6" s="87" t="s">
        <v>270</v>
      </c>
      <c r="M6" s="88" t="s">
        <v>89</v>
      </c>
    </row>
    <row r="7" ht="18.0" customHeight="1">
      <c r="A7" s="39" t="s">
        <v>215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ht="21.75" customHeight="1">
      <c r="A8" s="82">
        <v>2.0</v>
      </c>
      <c r="B8" s="83" t="s">
        <v>128</v>
      </c>
      <c r="C8" s="75">
        <v>1.0</v>
      </c>
      <c r="D8" s="75">
        <v>0.0</v>
      </c>
      <c r="E8" s="75">
        <v>1.0</v>
      </c>
      <c r="F8" s="84" t="s">
        <v>70</v>
      </c>
      <c r="G8" s="85" t="s">
        <v>134</v>
      </c>
      <c r="H8" s="78"/>
      <c r="I8" s="78"/>
      <c r="J8" s="86" t="str">
        <f t="shared" ref="J8:J9" si="3">IF(AND(H8&lt;&gt;"",I8&lt;&gt;"",E8&lt;&gt;""),IF(OR(AND(UPPER(E8)="1",H8&gt;I8),AND(UPPER(E8)="X",H8=I8),AND(UPPER(E8)="2",H8&lt;I8)),1,0),"")</f>
        <v/>
      </c>
      <c r="K8" s="86" t="str">
        <f t="shared" ref="K8:K9" si="4">IF(AND(H8&lt;&gt;"",I8&lt;&gt;"",C8&lt;&gt;"",D8&lt;&gt;""),IF(AND(H8=C8,I8=D8),3,0),"")</f>
        <v/>
      </c>
      <c r="L8" s="87" t="s">
        <v>259</v>
      </c>
      <c r="M8" s="102" t="s">
        <v>75</v>
      </c>
    </row>
    <row r="9" ht="21.75" customHeight="1">
      <c r="A9" s="73">
        <v>2.0</v>
      </c>
      <c r="B9" s="74" t="s">
        <v>135</v>
      </c>
      <c r="C9" s="75">
        <v>0.0</v>
      </c>
      <c r="D9" s="75">
        <v>2.0</v>
      </c>
      <c r="E9" s="75">
        <v>2.0</v>
      </c>
      <c r="F9" s="76" t="s">
        <v>70</v>
      </c>
      <c r="G9" s="77" t="s">
        <v>129</v>
      </c>
      <c r="H9" s="78"/>
      <c r="I9" s="78"/>
      <c r="J9" s="79" t="str">
        <f t="shared" si="3"/>
        <v/>
      </c>
      <c r="K9" s="79" t="str">
        <f t="shared" si="4"/>
        <v/>
      </c>
      <c r="L9" s="80" t="s">
        <v>271</v>
      </c>
      <c r="M9" s="89" t="s">
        <v>89</v>
      </c>
    </row>
    <row r="10" ht="18.0" customHeight="1">
      <c r="A10" s="39" t="s">
        <v>218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ht="21.75" customHeight="1">
      <c r="A11" s="73">
        <v>3.0</v>
      </c>
      <c r="B11" s="74" t="s">
        <v>128</v>
      </c>
      <c r="C11" s="75">
        <v>3.0</v>
      </c>
      <c r="D11" s="75">
        <v>1.0</v>
      </c>
      <c r="E11" s="75">
        <v>1.0</v>
      </c>
      <c r="F11" s="76" t="s">
        <v>70</v>
      </c>
      <c r="G11" s="77" t="s">
        <v>135</v>
      </c>
      <c r="H11" s="78"/>
      <c r="I11" s="78"/>
      <c r="J11" s="79" t="str">
        <f t="shared" ref="J11:J12" si="5">IF(AND(H11&lt;&gt;"",I11&lt;&gt;"",E11&lt;&gt;""),IF(OR(AND(UPPER(E11)="1",H11&gt;I11),AND(UPPER(E11)="X",H11=I11),AND(UPPER(E11)="2",H11&lt;I11)),1,0),"")</f>
        <v/>
      </c>
      <c r="K11" s="79" t="str">
        <f t="shared" ref="K11:K12" si="6">IF(AND(H11&lt;&gt;"",I11&lt;&gt;"",C11&lt;&gt;"",D11&lt;&gt;""),IF(AND(H11=C11,I11=D11),3,0),"")</f>
        <v/>
      </c>
      <c r="L11" s="80" t="s">
        <v>272</v>
      </c>
      <c r="M11" s="89" t="s">
        <v>166</v>
      </c>
    </row>
    <row r="12" ht="21.75" customHeight="1">
      <c r="A12" s="82">
        <v>3.0</v>
      </c>
      <c r="B12" s="83" t="s">
        <v>129</v>
      </c>
      <c r="C12" s="75">
        <v>2.0</v>
      </c>
      <c r="D12" s="75">
        <v>1.0</v>
      </c>
      <c r="E12" s="75">
        <v>1.0</v>
      </c>
      <c r="F12" s="84" t="s">
        <v>70</v>
      </c>
      <c r="G12" s="85" t="s">
        <v>134</v>
      </c>
      <c r="H12" s="78"/>
      <c r="I12" s="78"/>
      <c r="J12" s="86" t="str">
        <f t="shared" si="5"/>
        <v/>
      </c>
      <c r="K12" s="86" t="str">
        <f t="shared" si="6"/>
        <v/>
      </c>
      <c r="L12" s="87" t="s">
        <v>272</v>
      </c>
      <c r="M12" s="88" t="s">
        <v>166</v>
      </c>
    </row>
    <row r="14" ht="21.75" customHeight="1">
      <c r="A14" s="90" t="s">
        <v>220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ht="21.75" customHeight="1">
      <c r="A15" s="91" t="s">
        <v>221</v>
      </c>
      <c r="B15" s="92" t="s">
        <v>222</v>
      </c>
      <c r="C15" s="17"/>
      <c r="D15" s="17"/>
      <c r="E15" s="17"/>
      <c r="F15" s="18"/>
      <c r="G15" s="93" t="s">
        <v>223</v>
      </c>
      <c r="H15" s="17"/>
      <c r="I15" s="18"/>
      <c r="J15" s="94" t="s">
        <v>224</v>
      </c>
      <c r="K15" s="17"/>
      <c r="L15" s="17"/>
      <c r="M15" s="18"/>
    </row>
    <row r="16" ht="21.75" customHeight="1">
      <c r="A16" s="28" t="s">
        <v>225</v>
      </c>
      <c r="B16" s="95" t="s">
        <v>273</v>
      </c>
      <c r="C16" s="17"/>
      <c r="D16" s="17"/>
      <c r="E16" s="17"/>
      <c r="F16" s="18"/>
      <c r="G16" s="96"/>
      <c r="H16" s="17"/>
      <c r="I16" s="18"/>
      <c r="J16" s="97" t="str">
        <f>IF(AND(B16&lt;&gt;"",G16&lt;&gt;""),IF(LOWER(TRIM(B16))=LOWER(TRIM(G16)),4,0),"")</f>
        <v/>
      </c>
      <c r="K16" s="17"/>
      <c r="L16" s="17"/>
      <c r="M16" s="18"/>
    </row>
    <row r="17" ht="21.75" customHeight="1">
      <c r="A17" s="28" t="s">
        <v>227</v>
      </c>
      <c r="B17" s="103" t="s">
        <v>274</v>
      </c>
      <c r="C17" s="17"/>
      <c r="D17" s="17"/>
      <c r="E17" s="17"/>
      <c r="F17" s="18"/>
      <c r="G17" s="96"/>
      <c r="H17" s="17"/>
      <c r="I17" s="18"/>
      <c r="J17" s="97" t="str">
        <f>IF(AND(B17&lt;&gt;"",G17&lt;&gt;""),IF(LOWER(TRIM(B17))=LOWER(TRIM(G17)),2,0),"")</f>
        <v/>
      </c>
      <c r="K17" s="17"/>
      <c r="L17" s="17"/>
      <c r="M17" s="18"/>
    </row>
    <row r="18" ht="21.75" customHeight="1">
      <c r="A18" s="28" t="s">
        <v>229</v>
      </c>
      <c r="B18" s="95" t="s">
        <v>275</v>
      </c>
      <c r="C18" s="17"/>
      <c r="D18" s="17"/>
      <c r="E18" s="17"/>
      <c r="F18" s="18"/>
      <c r="G18" s="96"/>
      <c r="H18" s="17"/>
      <c r="I18" s="18"/>
      <c r="J18" s="97"/>
      <c r="K18" s="17"/>
      <c r="L18" s="17"/>
      <c r="M18" s="18"/>
    </row>
    <row r="20" ht="21.75" customHeight="1">
      <c r="A20" s="98" t="s">
        <v>276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</row>
    <row r="21" ht="19.5" customHeight="1">
      <c r="A21" s="29" t="s">
        <v>232</v>
      </c>
      <c r="B21" s="17"/>
      <c r="C21" s="17"/>
      <c r="D21" s="17"/>
      <c r="E21" s="17"/>
      <c r="F21" s="17"/>
      <c r="G21" s="17"/>
      <c r="H21" s="17"/>
      <c r="I21" s="18"/>
      <c r="J21" s="99">
        <f>IFERROR(SUM(J5:J12),0)</f>
        <v>0</v>
      </c>
      <c r="K21" s="17"/>
      <c r="L21" s="17"/>
      <c r="M21" s="18"/>
    </row>
    <row r="22" ht="19.5" customHeight="1">
      <c r="A22" s="29" t="s">
        <v>233</v>
      </c>
      <c r="B22" s="17"/>
      <c r="C22" s="17"/>
      <c r="D22" s="17"/>
      <c r="E22" s="17"/>
      <c r="F22" s="17"/>
      <c r="G22" s="17"/>
      <c r="H22" s="17"/>
      <c r="I22" s="18"/>
      <c r="J22" s="99">
        <f>IFERROR(SUM(K5:K12),0)</f>
        <v>0</v>
      </c>
      <c r="K22" s="17"/>
      <c r="L22" s="17"/>
      <c r="M22" s="18"/>
    </row>
    <row r="23" ht="19.5" customHeight="1">
      <c r="A23" s="29" t="s">
        <v>234</v>
      </c>
      <c r="B23" s="17"/>
      <c r="C23" s="17"/>
      <c r="D23" s="17"/>
      <c r="E23" s="17"/>
      <c r="F23" s="17"/>
      <c r="G23" s="17"/>
      <c r="H23" s="17"/>
      <c r="I23" s="18"/>
      <c r="J23" s="99">
        <f>IFERROR(J16+J17,0)</f>
        <v>0</v>
      </c>
      <c r="K23" s="17"/>
      <c r="L23" s="17"/>
      <c r="M23" s="18"/>
    </row>
    <row r="24" ht="19.5" customHeight="1">
      <c r="A24" s="29" t="s">
        <v>235</v>
      </c>
      <c r="B24" s="17"/>
      <c r="C24" s="17"/>
      <c r="D24" s="17"/>
      <c r="E24" s="17"/>
      <c r="F24" s="17"/>
      <c r="G24" s="17"/>
      <c r="H24" s="17"/>
      <c r="I24" s="18"/>
      <c r="J24" s="99" t="str">
        <f>IFERROR(J18,0)</f>
        <v/>
      </c>
      <c r="K24" s="17"/>
      <c r="L24" s="17"/>
      <c r="M24" s="18"/>
    </row>
    <row r="25" ht="25.5" customHeight="1">
      <c r="A25" s="100" t="s">
        <v>236</v>
      </c>
      <c r="B25" s="17"/>
      <c r="C25" s="17"/>
      <c r="D25" s="17"/>
      <c r="E25" s="17"/>
      <c r="F25" s="17"/>
      <c r="G25" s="17"/>
      <c r="H25" s="17"/>
      <c r="I25" s="18"/>
      <c r="J25" s="101">
        <f>J21+J22+J23+J24</f>
        <v>0</v>
      </c>
      <c r="K25" s="17"/>
      <c r="L25" s="17"/>
      <c r="M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G15:I15"/>
    <mergeCell ref="J15:M15"/>
    <mergeCell ref="A1:M1"/>
    <mergeCell ref="A2:M2"/>
    <mergeCell ref="A4:M4"/>
    <mergeCell ref="A7:M7"/>
    <mergeCell ref="A10:M10"/>
    <mergeCell ref="A14:M14"/>
    <mergeCell ref="B15:F15"/>
    <mergeCell ref="G18:I18"/>
    <mergeCell ref="J18:M18"/>
    <mergeCell ref="B16:F16"/>
    <mergeCell ref="G16:I16"/>
    <mergeCell ref="J16:M16"/>
    <mergeCell ref="B17:F17"/>
    <mergeCell ref="G17:I17"/>
    <mergeCell ref="J17:M17"/>
    <mergeCell ref="B18:F18"/>
    <mergeCell ref="A24:I24"/>
    <mergeCell ref="J24:M24"/>
    <mergeCell ref="A25:I25"/>
    <mergeCell ref="J25:M25"/>
    <mergeCell ref="A20:M20"/>
    <mergeCell ref="A21:I21"/>
    <mergeCell ref="J21:M21"/>
    <mergeCell ref="A22:I22"/>
    <mergeCell ref="J22:M22"/>
    <mergeCell ref="A23:I23"/>
    <mergeCell ref="J23:M23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7.0"/>
    <col customWidth="1" min="3" max="5" width="7.0"/>
    <col customWidth="1" min="6" max="6" width="4.0"/>
    <col customWidth="1" min="7" max="7" width="17.0"/>
    <col customWidth="1" min="8" max="9" width="7.0"/>
    <col customWidth="1" min="10" max="11" width="8.0"/>
    <col customWidth="1" min="12" max="12" width="9.0"/>
    <col customWidth="1" min="13" max="13" width="7.0"/>
    <col customWidth="1" min="14" max="26" width="8.71"/>
  </cols>
  <sheetData>
    <row r="1" ht="31.5" customHeight="1">
      <c r="A1" s="105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1.5" customHeight="1">
      <c r="A2" s="68" t="s">
        <v>201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ht="39.75" customHeight="1">
      <c r="A3" s="69" t="s">
        <v>202</v>
      </c>
      <c r="B3" s="69" t="s">
        <v>69</v>
      </c>
      <c r="C3" s="70" t="s">
        <v>203</v>
      </c>
      <c r="D3" s="70" t="s">
        <v>204</v>
      </c>
      <c r="E3" s="70" t="s">
        <v>205</v>
      </c>
      <c r="F3" s="69" t="s">
        <v>70</v>
      </c>
      <c r="G3" s="69" t="s">
        <v>71</v>
      </c>
      <c r="H3" s="71" t="s">
        <v>206</v>
      </c>
      <c r="I3" s="71" t="s">
        <v>207</v>
      </c>
      <c r="J3" s="72" t="s">
        <v>208</v>
      </c>
      <c r="K3" s="72" t="s">
        <v>209</v>
      </c>
      <c r="L3" s="69" t="s">
        <v>67</v>
      </c>
      <c r="M3" s="69" t="s">
        <v>210</v>
      </c>
    </row>
    <row r="4" ht="18.0" customHeight="1">
      <c r="A4" s="39" t="s">
        <v>211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ht="21.75" customHeight="1">
      <c r="A5" s="106">
        <v>1.0</v>
      </c>
      <c r="B5" s="107" t="s">
        <v>278</v>
      </c>
      <c r="C5" s="75">
        <v>2.0</v>
      </c>
      <c r="D5" s="75">
        <v>1.0</v>
      </c>
      <c r="E5" s="75">
        <v>1.0</v>
      </c>
      <c r="F5" s="108" t="s">
        <v>70</v>
      </c>
      <c r="G5" s="109" t="s">
        <v>163</v>
      </c>
      <c r="H5" s="110"/>
      <c r="I5" s="78"/>
      <c r="J5" s="111" t="str">
        <f t="shared" ref="J5:J6" si="1">IF(AND(H5&lt;&gt;"",I5&lt;&gt;"",E5&lt;&gt;""),IF(OR(AND(UPPER(E5)="1",H5&gt;I5),AND(UPPER(E5)="X",H5=I5),AND(UPPER(E5)="2",H5&lt;I5)),1,0),"")</f>
        <v/>
      </c>
      <c r="K5" s="111" t="str">
        <f t="shared" ref="K5:K6" si="2">IF(AND(H5&lt;&gt;"",I5&lt;&gt;"",C5&lt;&gt;"",D5&lt;&gt;""),IF(AND(H5=C5,I5=D5),3,0),"")</f>
        <v/>
      </c>
      <c r="L5" s="112" t="s">
        <v>258</v>
      </c>
      <c r="M5" s="113" t="s">
        <v>124</v>
      </c>
    </row>
    <row r="6" ht="21.75" customHeight="1">
      <c r="A6" s="82">
        <v>1.0</v>
      </c>
      <c r="B6" s="83" t="s">
        <v>132</v>
      </c>
      <c r="C6" s="75">
        <v>1.0</v>
      </c>
      <c r="D6" s="75">
        <v>1.0</v>
      </c>
      <c r="E6" s="75">
        <v>2.0</v>
      </c>
      <c r="F6" s="84" t="s">
        <v>70</v>
      </c>
      <c r="G6" s="85" t="s">
        <v>133</v>
      </c>
      <c r="H6" s="78"/>
      <c r="I6" s="110"/>
      <c r="J6" s="86" t="str">
        <f t="shared" si="1"/>
        <v/>
      </c>
      <c r="K6" s="86" t="str">
        <f t="shared" si="2"/>
        <v/>
      </c>
      <c r="L6" s="87" t="s">
        <v>270</v>
      </c>
      <c r="M6" s="88" t="s">
        <v>101</v>
      </c>
    </row>
    <row r="7" ht="18.0" customHeight="1">
      <c r="A7" s="39" t="s">
        <v>215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ht="21.75" customHeight="1">
      <c r="A8" s="106">
        <v>2.0</v>
      </c>
      <c r="B8" s="107" t="s">
        <v>278</v>
      </c>
      <c r="C8" s="75">
        <v>3.0</v>
      </c>
      <c r="D8" s="75">
        <v>0.0</v>
      </c>
      <c r="E8" s="75">
        <v>1.0</v>
      </c>
      <c r="F8" s="108" t="s">
        <v>70</v>
      </c>
      <c r="G8" s="109" t="s">
        <v>132</v>
      </c>
      <c r="H8" s="78"/>
      <c r="I8" s="78"/>
      <c r="J8" s="111" t="str">
        <f t="shared" ref="J8:J9" si="3">IF(AND(H8&lt;&gt;"",I8&lt;&gt;"",E8&lt;&gt;""),IF(OR(AND(UPPER(E8)="1",H8&gt;I8),AND(UPPER(E8)="X",H8=I8),AND(UPPER(E8)="2",H8&lt;I8)),1,0),"")</f>
        <v/>
      </c>
      <c r="K8" s="111" t="str">
        <f t="shared" ref="K8:K9" si="4">IF(AND(H8&lt;&gt;"",I8&lt;&gt;"",C8&lt;&gt;"",D8&lt;&gt;""),IF(AND(H8=C8,I8=D8),3,0),"")</f>
        <v/>
      </c>
      <c r="L8" s="112" t="s">
        <v>259</v>
      </c>
      <c r="M8" s="113" t="s">
        <v>124</v>
      </c>
    </row>
    <row r="9" ht="21.75" customHeight="1">
      <c r="A9" s="73">
        <v>2.0</v>
      </c>
      <c r="B9" s="74" t="s">
        <v>133</v>
      </c>
      <c r="C9" s="75">
        <v>2.0</v>
      </c>
      <c r="D9" s="75">
        <v>1.0</v>
      </c>
      <c r="E9" s="75">
        <v>1.0</v>
      </c>
      <c r="F9" s="76" t="s">
        <v>70</v>
      </c>
      <c r="G9" s="77" t="s">
        <v>163</v>
      </c>
      <c r="H9" s="78"/>
      <c r="I9" s="78"/>
      <c r="J9" s="79" t="str">
        <f t="shared" si="3"/>
        <v/>
      </c>
      <c r="K9" s="79" t="str">
        <f t="shared" si="4"/>
        <v/>
      </c>
      <c r="L9" s="80" t="s">
        <v>271</v>
      </c>
      <c r="M9" s="89" t="s">
        <v>101</v>
      </c>
    </row>
    <row r="10" ht="18.0" customHeight="1">
      <c r="A10" s="39" t="s">
        <v>218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ht="21.75" customHeight="1">
      <c r="A11" s="106">
        <v>3.0</v>
      </c>
      <c r="B11" s="107" t="s">
        <v>133</v>
      </c>
      <c r="C11" s="75">
        <v>1.0</v>
      </c>
      <c r="D11" s="75">
        <v>3.0</v>
      </c>
      <c r="E11" s="75" t="s">
        <v>279</v>
      </c>
      <c r="F11" s="108" t="s">
        <v>70</v>
      </c>
      <c r="G11" s="109" t="s">
        <v>278</v>
      </c>
      <c r="H11" s="78"/>
      <c r="I11" s="78"/>
      <c r="J11" s="111" t="str">
        <f t="shared" ref="J11:J12" si="5">IF(AND(H11&lt;&gt;"",I11&lt;&gt;"",E11&lt;&gt;""),IF(OR(AND(UPPER(E11)="1",H11&gt;I11),AND(UPPER(E11)="X",H11=I11),AND(UPPER(E11)="2",H11&lt;I11)),1,0),"")</f>
        <v/>
      </c>
      <c r="K11" s="111" t="str">
        <f t="shared" ref="K11:K12" si="6">IF(AND(H11&lt;&gt;"",I11&lt;&gt;"",C11&lt;&gt;"",D11&lt;&gt;""),IF(AND(H11=C11,I11=D11),3,0),"")</f>
        <v/>
      </c>
      <c r="L11" s="112" t="s">
        <v>272</v>
      </c>
      <c r="M11" s="114" t="s">
        <v>160</v>
      </c>
    </row>
    <row r="12" ht="21.75" customHeight="1">
      <c r="A12" s="82">
        <v>3.0</v>
      </c>
      <c r="B12" s="83" t="s">
        <v>163</v>
      </c>
      <c r="C12" s="75">
        <v>2.0</v>
      </c>
      <c r="D12" s="75">
        <v>0.0</v>
      </c>
      <c r="E12" s="75">
        <v>1.0</v>
      </c>
      <c r="F12" s="84" t="s">
        <v>70</v>
      </c>
      <c r="G12" s="85" t="s">
        <v>132</v>
      </c>
      <c r="H12" s="78"/>
      <c r="I12" s="78"/>
      <c r="J12" s="86" t="str">
        <f t="shared" si="5"/>
        <v/>
      </c>
      <c r="K12" s="86" t="str">
        <f t="shared" si="6"/>
        <v/>
      </c>
      <c r="L12" s="87" t="s">
        <v>272</v>
      </c>
      <c r="M12" s="88" t="s">
        <v>160</v>
      </c>
    </row>
    <row r="14" ht="21.75" customHeight="1">
      <c r="A14" s="90" t="s">
        <v>220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ht="21.75" customHeight="1">
      <c r="A15" s="91" t="s">
        <v>221</v>
      </c>
      <c r="B15" s="92" t="s">
        <v>222</v>
      </c>
      <c r="C15" s="17"/>
      <c r="D15" s="17"/>
      <c r="E15" s="17"/>
      <c r="F15" s="18"/>
      <c r="G15" s="93" t="s">
        <v>223</v>
      </c>
      <c r="H15" s="17"/>
      <c r="I15" s="18"/>
      <c r="J15" s="94" t="s">
        <v>224</v>
      </c>
      <c r="K15" s="17"/>
      <c r="L15" s="17"/>
      <c r="M15" s="18"/>
    </row>
    <row r="16" ht="21.75" customHeight="1">
      <c r="A16" s="28" t="s">
        <v>225</v>
      </c>
      <c r="B16" s="95" t="s">
        <v>125</v>
      </c>
      <c r="C16" s="17"/>
      <c r="D16" s="17"/>
      <c r="E16" s="17"/>
      <c r="F16" s="18"/>
      <c r="G16" s="96"/>
      <c r="H16" s="17"/>
      <c r="I16" s="18"/>
      <c r="J16" s="97" t="str">
        <f>IF(AND(B16&lt;&gt;"",G16&lt;&gt;""),IF(LOWER(TRIM(B16))=LOWER(TRIM(G16)),4,0),"")</f>
        <v/>
      </c>
      <c r="K16" s="17"/>
      <c r="L16" s="17"/>
      <c r="M16" s="18"/>
    </row>
    <row r="17" ht="21.75" customHeight="1">
      <c r="A17" s="28" t="s">
        <v>227</v>
      </c>
      <c r="B17" s="95" t="s">
        <v>172</v>
      </c>
      <c r="C17" s="17"/>
      <c r="D17" s="17"/>
      <c r="E17" s="17"/>
      <c r="F17" s="18"/>
      <c r="G17" s="96"/>
      <c r="H17" s="17"/>
      <c r="I17" s="18"/>
      <c r="J17" s="97" t="str">
        <f>IF(AND(B17&lt;&gt;"",G17&lt;&gt;""),IF(LOWER(TRIM(B17))=LOWER(TRIM(G17)),2,0),"")</f>
        <v/>
      </c>
      <c r="K17" s="17"/>
      <c r="L17" s="17"/>
      <c r="M17" s="18"/>
    </row>
    <row r="18" ht="21.75" customHeight="1">
      <c r="A18" s="28" t="s">
        <v>229</v>
      </c>
      <c r="B18" s="95" t="s">
        <v>126</v>
      </c>
      <c r="C18" s="17"/>
      <c r="D18" s="17"/>
      <c r="E18" s="17"/>
      <c r="F18" s="18"/>
      <c r="G18" s="96"/>
      <c r="H18" s="17"/>
      <c r="I18" s="18"/>
      <c r="J18" s="97"/>
      <c r="K18" s="17"/>
      <c r="L18" s="17"/>
      <c r="M18" s="18"/>
    </row>
    <row r="20" ht="21.75" customHeight="1">
      <c r="A20" s="98" t="s">
        <v>280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</row>
    <row r="21" ht="19.5" customHeight="1">
      <c r="A21" s="29" t="s">
        <v>232</v>
      </c>
      <c r="B21" s="17"/>
      <c r="C21" s="17"/>
      <c r="D21" s="17"/>
      <c r="E21" s="17"/>
      <c r="F21" s="17"/>
      <c r="G21" s="17"/>
      <c r="H21" s="17"/>
      <c r="I21" s="18"/>
      <c r="J21" s="99">
        <f>IFERROR(SUM(J5:J12),0)</f>
        <v>0</v>
      </c>
      <c r="K21" s="17"/>
      <c r="L21" s="17"/>
      <c r="M21" s="18"/>
    </row>
    <row r="22" ht="19.5" customHeight="1">
      <c r="A22" s="29" t="s">
        <v>233</v>
      </c>
      <c r="B22" s="17"/>
      <c r="C22" s="17"/>
      <c r="D22" s="17"/>
      <c r="E22" s="17"/>
      <c r="F22" s="17"/>
      <c r="G22" s="17"/>
      <c r="H22" s="17"/>
      <c r="I22" s="18"/>
      <c r="J22" s="99">
        <f>IFERROR(SUM(K5:K12),0)</f>
        <v>0</v>
      </c>
      <c r="K22" s="17"/>
      <c r="L22" s="17"/>
      <c r="M22" s="18"/>
    </row>
    <row r="23" ht="19.5" customHeight="1">
      <c r="A23" s="29" t="s">
        <v>234</v>
      </c>
      <c r="B23" s="17"/>
      <c r="C23" s="17"/>
      <c r="D23" s="17"/>
      <c r="E23" s="17"/>
      <c r="F23" s="17"/>
      <c r="G23" s="17"/>
      <c r="H23" s="17"/>
      <c r="I23" s="18"/>
      <c r="J23" s="99">
        <f>IFERROR(J16+J17,0)</f>
        <v>0</v>
      </c>
      <c r="K23" s="17"/>
      <c r="L23" s="17"/>
      <c r="M23" s="18"/>
    </row>
    <row r="24" ht="19.5" customHeight="1">
      <c r="A24" s="29" t="s">
        <v>235</v>
      </c>
      <c r="B24" s="17"/>
      <c r="C24" s="17"/>
      <c r="D24" s="17"/>
      <c r="E24" s="17"/>
      <c r="F24" s="17"/>
      <c r="G24" s="17"/>
      <c r="H24" s="17"/>
      <c r="I24" s="18"/>
      <c r="J24" s="99" t="str">
        <f>IFERROR(J18,0)</f>
        <v/>
      </c>
      <c r="K24" s="17"/>
      <c r="L24" s="17"/>
      <c r="M24" s="18"/>
    </row>
    <row r="25" ht="25.5" customHeight="1">
      <c r="A25" s="100" t="s">
        <v>236</v>
      </c>
      <c r="B25" s="17"/>
      <c r="C25" s="17"/>
      <c r="D25" s="17"/>
      <c r="E25" s="17"/>
      <c r="F25" s="17"/>
      <c r="G25" s="17"/>
      <c r="H25" s="17"/>
      <c r="I25" s="18"/>
      <c r="J25" s="101">
        <f>J21+J22+J23+J24</f>
        <v>0</v>
      </c>
      <c r="K25" s="17"/>
      <c r="L25" s="17"/>
      <c r="M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G15:I15"/>
    <mergeCell ref="J15:M15"/>
    <mergeCell ref="A1:M1"/>
    <mergeCell ref="A2:M2"/>
    <mergeCell ref="A4:M4"/>
    <mergeCell ref="A7:M7"/>
    <mergeCell ref="A10:M10"/>
    <mergeCell ref="A14:M14"/>
    <mergeCell ref="B15:F15"/>
    <mergeCell ref="G18:I18"/>
    <mergeCell ref="J18:M18"/>
    <mergeCell ref="B16:F16"/>
    <mergeCell ref="G16:I16"/>
    <mergeCell ref="J16:M16"/>
    <mergeCell ref="B17:F17"/>
    <mergeCell ref="G17:I17"/>
    <mergeCell ref="J17:M17"/>
    <mergeCell ref="B18:F18"/>
    <mergeCell ref="A24:I24"/>
    <mergeCell ref="J24:M24"/>
    <mergeCell ref="A25:I25"/>
    <mergeCell ref="J25:M25"/>
    <mergeCell ref="A20:M20"/>
    <mergeCell ref="A21:I21"/>
    <mergeCell ref="J21:M21"/>
    <mergeCell ref="A22:I22"/>
    <mergeCell ref="J22:M22"/>
    <mergeCell ref="A23:I23"/>
    <mergeCell ref="J23:M23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7.0"/>
    <col customWidth="1" min="3" max="5" width="7.0"/>
    <col customWidth="1" min="6" max="6" width="4.0"/>
    <col customWidth="1" min="7" max="7" width="17.0"/>
    <col customWidth="1" min="8" max="9" width="7.0"/>
    <col customWidth="1" min="10" max="11" width="8.0"/>
    <col customWidth="1" min="12" max="12" width="9.0"/>
    <col customWidth="1" min="13" max="13" width="7.0"/>
    <col customWidth="1" min="14" max="26" width="8.71"/>
  </cols>
  <sheetData>
    <row r="1" ht="31.5" customHeight="1">
      <c r="A1" s="67" t="s">
        <v>281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1.5" customHeight="1">
      <c r="A2" s="68" t="s">
        <v>201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ht="39.75" customHeight="1">
      <c r="A3" s="69" t="s">
        <v>202</v>
      </c>
      <c r="B3" s="69" t="s">
        <v>69</v>
      </c>
      <c r="C3" s="70" t="s">
        <v>203</v>
      </c>
      <c r="D3" s="70" t="s">
        <v>204</v>
      </c>
      <c r="E3" s="70" t="s">
        <v>205</v>
      </c>
      <c r="F3" s="69" t="s">
        <v>70</v>
      </c>
      <c r="G3" s="69" t="s">
        <v>71</v>
      </c>
      <c r="H3" s="71" t="s">
        <v>206</v>
      </c>
      <c r="I3" s="71" t="s">
        <v>207</v>
      </c>
      <c r="J3" s="72" t="s">
        <v>208</v>
      </c>
      <c r="K3" s="72" t="s">
        <v>209</v>
      </c>
      <c r="L3" s="69" t="s">
        <v>67</v>
      </c>
      <c r="M3" s="69" t="s">
        <v>210</v>
      </c>
    </row>
    <row r="4" ht="18.0" customHeight="1">
      <c r="A4" s="39" t="s">
        <v>211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ht="21.75" customHeight="1">
      <c r="A5" s="73">
        <v>1.0</v>
      </c>
      <c r="B5" s="74" t="s">
        <v>140</v>
      </c>
      <c r="C5" s="75">
        <v>3.0</v>
      </c>
      <c r="D5" s="75">
        <v>1.0</v>
      </c>
      <c r="E5" s="75">
        <v>1.0</v>
      </c>
      <c r="F5" s="76" t="s">
        <v>70</v>
      </c>
      <c r="G5" s="77" t="s">
        <v>141</v>
      </c>
      <c r="H5" s="78"/>
      <c r="I5" s="78"/>
      <c r="J5" s="79" t="str">
        <f t="shared" ref="J5:J6" si="1">IF(AND(H5&lt;&gt;"",I5&lt;&gt;"",E5&lt;&gt;""),IF(OR(AND(UPPER(E5)="1",H5&gt;I5),AND(UPPER(E5)="X",H5=I5),AND(UPPER(E5)="2",H5&lt;I5)),1,0),"")</f>
        <v/>
      </c>
      <c r="K5" s="79" t="str">
        <f t="shared" ref="K5:K6" si="2">IF(AND(H5&lt;&gt;"",I5&lt;&gt;"",C5&lt;&gt;"",D5&lt;&gt;""),IF(AND(H5=C5,I5=D5),3,0),"")</f>
        <v/>
      </c>
      <c r="L5" s="80" t="s">
        <v>270</v>
      </c>
      <c r="M5" s="81" t="s">
        <v>75</v>
      </c>
    </row>
    <row r="6" ht="21.75" customHeight="1">
      <c r="A6" s="82">
        <v>1.0</v>
      </c>
      <c r="B6" s="83" t="s">
        <v>143</v>
      </c>
      <c r="C6" s="75">
        <v>1.0</v>
      </c>
      <c r="D6" s="75">
        <v>2.0</v>
      </c>
      <c r="E6" s="75">
        <v>2.0</v>
      </c>
      <c r="F6" s="84" t="s">
        <v>70</v>
      </c>
      <c r="G6" s="85" t="s">
        <v>144</v>
      </c>
      <c r="H6" s="78"/>
      <c r="I6" s="78"/>
      <c r="J6" s="86" t="str">
        <f t="shared" si="1"/>
        <v/>
      </c>
      <c r="K6" s="86" t="str">
        <f t="shared" si="2"/>
        <v/>
      </c>
      <c r="L6" s="87" t="s">
        <v>282</v>
      </c>
      <c r="M6" s="88" t="s">
        <v>101</v>
      </c>
    </row>
    <row r="7" ht="18.0" customHeight="1">
      <c r="A7" s="39" t="s">
        <v>215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ht="21.75" customHeight="1">
      <c r="A8" s="82">
        <v>2.0</v>
      </c>
      <c r="B8" s="83" t="s">
        <v>140</v>
      </c>
      <c r="C8" s="75">
        <v>4.0</v>
      </c>
      <c r="D8" s="75">
        <v>0.0</v>
      </c>
      <c r="E8" s="75">
        <v>1.0</v>
      </c>
      <c r="F8" s="84" t="s">
        <v>70</v>
      </c>
      <c r="G8" s="85" t="s">
        <v>143</v>
      </c>
      <c r="H8" s="78"/>
      <c r="I8" s="78"/>
      <c r="J8" s="86" t="str">
        <f t="shared" ref="J8:J9" si="3">IF(AND(H8&lt;&gt;"",I8&lt;&gt;"",E8&lt;&gt;""),IF(OR(AND(UPPER(E8)="1",H8&gt;I8),AND(UPPER(E8)="X",H8=I8),AND(UPPER(E8)="2",H8&lt;I8)),1,0),"")</f>
        <v/>
      </c>
      <c r="K8" s="86" t="str">
        <f t="shared" ref="K8:K9" si="4">IF(AND(H8&lt;&gt;"",I8&lt;&gt;"",C8&lt;&gt;"",D8&lt;&gt;""),IF(AND(H8=C8,I8=D8),3,0),"")</f>
        <v/>
      </c>
      <c r="L8" s="87" t="s">
        <v>271</v>
      </c>
      <c r="M8" s="102" t="s">
        <v>164</v>
      </c>
    </row>
    <row r="9" ht="21.75" customHeight="1">
      <c r="A9" s="73">
        <v>2.0</v>
      </c>
      <c r="B9" s="74" t="s">
        <v>144</v>
      </c>
      <c r="C9" s="75">
        <v>1.0</v>
      </c>
      <c r="D9" s="75">
        <v>0.0</v>
      </c>
      <c r="E9" s="75" t="s">
        <v>213</v>
      </c>
      <c r="F9" s="76" t="s">
        <v>70</v>
      </c>
      <c r="G9" s="77" t="s">
        <v>141</v>
      </c>
      <c r="H9" s="78"/>
      <c r="I9" s="78"/>
      <c r="J9" s="79" t="str">
        <f t="shared" si="3"/>
        <v/>
      </c>
      <c r="K9" s="79" t="str">
        <f t="shared" si="4"/>
        <v/>
      </c>
      <c r="L9" s="80" t="s">
        <v>283</v>
      </c>
      <c r="M9" s="89" t="s">
        <v>160</v>
      </c>
    </row>
    <row r="10" ht="18.0" customHeight="1">
      <c r="A10" s="39" t="s">
        <v>218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ht="21.75" customHeight="1">
      <c r="A11" s="73">
        <v>3.0</v>
      </c>
      <c r="B11" s="74" t="s">
        <v>144</v>
      </c>
      <c r="C11" s="75">
        <v>1.0</v>
      </c>
      <c r="D11" s="75">
        <v>2.0</v>
      </c>
      <c r="E11" s="115"/>
      <c r="F11" s="76" t="s">
        <v>70</v>
      </c>
      <c r="G11" s="77" t="s">
        <v>140</v>
      </c>
      <c r="H11" s="78"/>
      <c r="I11" s="78"/>
      <c r="J11" s="79" t="str">
        <f t="shared" ref="J11:J12" si="5">IF(AND(H11&lt;&gt;"",I11&lt;&gt;"",E11&lt;&gt;""),IF(OR(AND(UPPER(E11)="1",H11&gt;I11),AND(UPPER(E11)="X",H11=I11),AND(UPPER(E11)="2",H11&lt;I11)),1,0),"")</f>
        <v/>
      </c>
      <c r="K11" s="79" t="str">
        <f t="shared" ref="K11:K12" si="6">IF(AND(H11&lt;&gt;"",I11&lt;&gt;"",C11&lt;&gt;"",D11&lt;&gt;""),IF(AND(H11=C11,I11=D11),3,0),"")</f>
        <v/>
      </c>
      <c r="L11" s="80" t="s">
        <v>252</v>
      </c>
      <c r="M11" s="81" t="s">
        <v>75</v>
      </c>
    </row>
    <row r="12" ht="21.75" customHeight="1">
      <c r="A12" s="82">
        <v>3.0</v>
      </c>
      <c r="B12" s="83" t="s">
        <v>141</v>
      </c>
      <c r="C12" s="75">
        <v>3.0</v>
      </c>
      <c r="D12" s="75">
        <v>1.0</v>
      </c>
      <c r="E12" s="115"/>
      <c r="F12" s="84" t="s">
        <v>70</v>
      </c>
      <c r="G12" s="85" t="s">
        <v>143</v>
      </c>
      <c r="H12" s="78"/>
      <c r="I12" s="78"/>
      <c r="J12" s="86" t="str">
        <f t="shared" si="5"/>
        <v/>
      </c>
      <c r="K12" s="86" t="str">
        <f t="shared" si="6"/>
        <v/>
      </c>
      <c r="L12" s="87" t="s">
        <v>252</v>
      </c>
      <c r="M12" s="102" t="s">
        <v>75</v>
      </c>
    </row>
    <row r="14" ht="21.75" customHeight="1">
      <c r="A14" s="90" t="s">
        <v>220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ht="21.75" customHeight="1">
      <c r="A15" s="91" t="s">
        <v>221</v>
      </c>
      <c r="B15" s="92" t="s">
        <v>222</v>
      </c>
      <c r="C15" s="17"/>
      <c r="D15" s="17"/>
      <c r="E15" s="17"/>
      <c r="F15" s="18"/>
      <c r="G15" s="93" t="s">
        <v>223</v>
      </c>
      <c r="H15" s="17"/>
      <c r="I15" s="18"/>
      <c r="J15" s="94" t="s">
        <v>224</v>
      </c>
      <c r="K15" s="17"/>
      <c r="L15" s="17"/>
      <c r="M15" s="18"/>
    </row>
    <row r="16" ht="21.75" customHeight="1">
      <c r="A16" s="28" t="s">
        <v>225</v>
      </c>
      <c r="B16" s="95" t="s">
        <v>284</v>
      </c>
      <c r="C16" s="17"/>
      <c r="D16" s="17"/>
      <c r="E16" s="17"/>
      <c r="F16" s="18"/>
      <c r="G16" s="96"/>
      <c r="H16" s="17"/>
      <c r="I16" s="18"/>
      <c r="J16" s="97" t="str">
        <f>IF(AND(B16&lt;&gt;"",G16&lt;&gt;""),IF(LOWER(TRIM(B16))=LOWER(TRIM(G16)),4,0),"")</f>
        <v/>
      </c>
      <c r="K16" s="17"/>
      <c r="L16" s="17"/>
      <c r="M16" s="18"/>
    </row>
    <row r="17" ht="21.75" customHeight="1">
      <c r="A17" s="28" t="s">
        <v>227</v>
      </c>
      <c r="B17" s="95" t="s">
        <v>285</v>
      </c>
      <c r="C17" s="17"/>
      <c r="D17" s="17"/>
      <c r="E17" s="17"/>
      <c r="F17" s="18"/>
      <c r="G17" s="96"/>
      <c r="H17" s="17"/>
      <c r="I17" s="18"/>
      <c r="J17" s="97" t="str">
        <f>IF(AND(B17&lt;&gt;"",G17&lt;&gt;""),IF(LOWER(TRIM(B17))=LOWER(TRIM(G17)),2,0),"")</f>
        <v/>
      </c>
      <c r="K17" s="17"/>
      <c r="L17" s="17"/>
      <c r="M17" s="18"/>
    </row>
    <row r="18" ht="21.75" customHeight="1">
      <c r="A18" s="28" t="s">
        <v>229</v>
      </c>
      <c r="B18" s="95" t="s">
        <v>286</v>
      </c>
      <c r="C18" s="17"/>
      <c r="D18" s="17"/>
      <c r="E18" s="17"/>
      <c r="F18" s="18"/>
      <c r="G18" s="96"/>
      <c r="H18" s="17"/>
      <c r="I18" s="18"/>
      <c r="J18" s="97"/>
      <c r="K18" s="17"/>
      <c r="L18" s="17"/>
      <c r="M18" s="18"/>
    </row>
    <row r="20" ht="21.75" customHeight="1">
      <c r="A20" s="98" t="s">
        <v>287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</row>
    <row r="21" ht="19.5" customHeight="1">
      <c r="A21" s="29" t="s">
        <v>232</v>
      </c>
      <c r="B21" s="17"/>
      <c r="C21" s="17"/>
      <c r="D21" s="17"/>
      <c r="E21" s="17"/>
      <c r="F21" s="17"/>
      <c r="G21" s="17"/>
      <c r="H21" s="17"/>
      <c r="I21" s="18"/>
      <c r="J21" s="99">
        <f>IFERROR(SUM(J5:J12),0)</f>
        <v>0</v>
      </c>
      <c r="K21" s="17"/>
      <c r="L21" s="17"/>
      <c r="M21" s="18"/>
    </row>
    <row r="22" ht="19.5" customHeight="1">
      <c r="A22" s="29" t="s">
        <v>233</v>
      </c>
      <c r="B22" s="17"/>
      <c r="C22" s="17"/>
      <c r="D22" s="17"/>
      <c r="E22" s="17"/>
      <c r="F22" s="17"/>
      <c r="G22" s="17"/>
      <c r="H22" s="17"/>
      <c r="I22" s="18"/>
      <c r="J22" s="99">
        <f>IFERROR(SUM(K5:K12),0)</f>
        <v>0</v>
      </c>
      <c r="K22" s="17"/>
      <c r="L22" s="17"/>
      <c r="M22" s="18"/>
    </row>
    <row r="23" ht="19.5" customHeight="1">
      <c r="A23" s="29" t="s">
        <v>234</v>
      </c>
      <c r="B23" s="17"/>
      <c r="C23" s="17"/>
      <c r="D23" s="17"/>
      <c r="E23" s="17"/>
      <c r="F23" s="17"/>
      <c r="G23" s="17"/>
      <c r="H23" s="17"/>
      <c r="I23" s="18"/>
      <c r="J23" s="99">
        <f>IFERROR(J16+J17,0)</f>
        <v>0</v>
      </c>
      <c r="K23" s="17"/>
      <c r="L23" s="17"/>
      <c r="M23" s="18"/>
    </row>
    <row r="24" ht="19.5" customHeight="1">
      <c r="A24" s="29" t="s">
        <v>235</v>
      </c>
      <c r="B24" s="17"/>
      <c r="C24" s="17"/>
      <c r="D24" s="17"/>
      <c r="E24" s="17"/>
      <c r="F24" s="17"/>
      <c r="G24" s="17"/>
      <c r="H24" s="17"/>
      <c r="I24" s="18"/>
      <c r="J24" s="99" t="str">
        <f>IFERROR(J18,0)</f>
        <v/>
      </c>
      <c r="K24" s="17"/>
      <c r="L24" s="17"/>
      <c r="M24" s="18"/>
    </row>
    <row r="25" ht="25.5" customHeight="1">
      <c r="A25" s="100" t="s">
        <v>236</v>
      </c>
      <c r="B25" s="17"/>
      <c r="C25" s="17"/>
      <c r="D25" s="17"/>
      <c r="E25" s="17"/>
      <c r="F25" s="17"/>
      <c r="G25" s="17"/>
      <c r="H25" s="17"/>
      <c r="I25" s="18"/>
      <c r="J25" s="101">
        <f>J21+J22+J23+J24</f>
        <v>0</v>
      </c>
      <c r="K25" s="17"/>
      <c r="L25" s="17"/>
      <c r="M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G15:I15"/>
    <mergeCell ref="J15:M15"/>
    <mergeCell ref="A1:M1"/>
    <mergeCell ref="A2:M2"/>
    <mergeCell ref="A4:M4"/>
    <mergeCell ref="A7:M7"/>
    <mergeCell ref="A10:M10"/>
    <mergeCell ref="A14:M14"/>
    <mergeCell ref="B15:F15"/>
    <mergeCell ref="G18:I18"/>
    <mergeCell ref="J18:M18"/>
    <mergeCell ref="B16:F16"/>
    <mergeCell ref="G16:I16"/>
    <mergeCell ref="J16:M16"/>
    <mergeCell ref="B17:F17"/>
    <mergeCell ref="G17:I17"/>
    <mergeCell ref="J17:M17"/>
    <mergeCell ref="B18:F18"/>
    <mergeCell ref="A24:I24"/>
    <mergeCell ref="J24:M24"/>
    <mergeCell ref="A25:I25"/>
    <mergeCell ref="J25:M25"/>
    <mergeCell ref="A20:M20"/>
    <mergeCell ref="A21:I21"/>
    <mergeCell ref="J21:M21"/>
    <mergeCell ref="A22:I22"/>
    <mergeCell ref="J22:M22"/>
    <mergeCell ref="A23:I23"/>
    <mergeCell ref="J23:M23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7.0"/>
    <col customWidth="1" min="3" max="5" width="7.0"/>
    <col customWidth="1" min="6" max="6" width="4.0"/>
    <col customWidth="1" min="7" max="7" width="17.0"/>
    <col customWidth="1" min="8" max="9" width="7.0"/>
    <col customWidth="1" min="10" max="11" width="8.0"/>
    <col customWidth="1" min="12" max="12" width="9.0"/>
    <col customWidth="1" min="13" max="13" width="7.0"/>
    <col customWidth="1" min="14" max="26" width="8.71"/>
  </cols>
  <sheetData>
    <row r="1" ht="31.5" customHeight="1">
      <c r="A1" s="67" t="s">
        <v>288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1.5" customHeight="1">
      <c r="A2" s="68" t="s">
        <v>201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ht="39.75" customHeight="1">
      <c r="A3" s="69" t="s">
        <v>202</v>
      </c>
      <c r="B3" s="69" t="s">
        <v>69</v>
      </c>
      <c r="C3" s="70" t="s">
        <v>203</v>
      </c>
      <c r="D3" s="70" t="s">
        <v>204</v>
      </c>
      <c r="E3" s="70" t="s">
        <v>205</v>
      </c>
      <c r="F3" s="69" t="s">
        <v>70</v>
      </c>
      <c r="G3" s="69" t="s">
        <v>71</v>
      </c>
      <c r="H3" s="71" t="s">
        <v>206</v>
      </c>
      <c r="I3" s="71" t="s">
        <v>207</v>
      </c>
      <c r="J3" s="72" t="s">
        <v>208</v>
      </c>
      <c r="K3" s="72" t="s">
        <v>209</v>
      </c>
      <c r="L3" s="69" t="s">
        <v>67</v>
      </c>
      <c r="M3" s="69" t="s">
        <v>210</v>
      </c>
    </row>
    <row r="4" ht="18.0" customHeight="1">
      <c r="A4" s="39" t="s">
        <v>211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ht="21.75" customHeight="1">
      <c r="A5" s="73">
        <v>1.0</v>
      </c>
      <c r="B5" s="74" t="s">
        <v>145</v>
      </c>
      <c r="C5" s="75">
        <v>1.0</v>
      </c>
      <c r="D5" s="75">
        <v>1.0</v>
      </c>
      <c r="E5" s="75">
        <v>1.0</v>
      </c>
      <c r="F5" s="76" t="s">
        <v>70</v>
      </c>
      <c r="G5" s="77" t="s">
        <v>146</v>
      </c>
      <c r="H5" s="78"/>
      <c r="I5" s="78"/>
      <c r="J5" s="79" t="str">
        <f t="shared" ref="J5:J6" si="1">IF(AND(H5&lt;&gt;"",I5&lt;&gt;"",E5&lt;&gt;""),IF(OR(AND(UPPER(E5)="1",H5&gt;I5),AND(UPPER(E5)="X",H5=I5),AND(UPPER(E5)="2",H5&lt;I5)),1,0),"")</f>
        <v/>
      </c>
      <c r="K5" s="79" t="str">
        <f t="shared" ref="K5:K6" si="2">IF(AND(H5&lt;&gt;"",I5&lt;&gt;"",C5&lt;&gt;"",D5&lt;&gt;""),IF(AND(H5=C5,I5=D5),3,0),"")</f>
        <v/>
      </c>
      <c r="L5" s="80" t="s">
        <v>282</v>
      </c>
      <c r="M5" s="89" t="s">
        <v>89</v>
      </c>
    </row>
    <row r="6" ht="21.75" customHeight="1">
      <c r="A6" s="82">
        <v>1.0</v>
      </c>
      <c r="B6" s="83" t="s">
        <v>137</v>
      </c>
      <c r="C6" s="75">
        <v>2.0</v>
      </c>
      <c r="D6" s="75">
        <v>0.0</v>
      </c>
      <c r="E6" s="75">
        <v>1.0</v>
      </c>
      <c r="F6" s="84" t="s">
        <v>70</v>
      </c>
      <c r="G6" s="85" t="s">
        <v>138</v>
      </c>
      <c r="H6" s="78"/>
      <c r="I6" s="78"/>
      <c r="J6" s="86" t="str">
        <f t="shared" si="1"/>
        <v/>
      </c>
      <c r="K6" s="86" t="str">
        <f t="shared" si="2"/>
        <v/>
      </c>
      <c r="L6" s="87" t="s">
        <v>270</v>
      </c>
      <c r="M6" s="88" t="s">
        <v>93</v>
      </c>
    </row>
    <row r="7" ht="18.0" customHeight="1">
      <c r="A7" s="39" t="s">
        <v>215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ht="21.75" customHeight="1">
      <c r="A8" s="82">
        <v>2.0</v>
      </c>
      <c r="B8" s="83" t="s">
        <v>145</v>
      </c>
      <c r="C8" s="75">
        <v>2.0</v>
      </c>
      <c r="D8" s="75">
        <v>0.0</v>
      </c>
      <c r="E8" s="75">
        <v>1.0</v>
      </c>
      <c r="F8" s="84" t="s">
        <v>70</v>
      </c>
      <c r="G8" s="85" t="s">
        <v>137</v>
      </c>
      <c r="H8" s="78"/>
      <c r="I8" s="78"/>
      <c r="J8" s="86" t="str">
        <f t="shared" ref="J8:J9" si="3">IF(AND(H8&lt;&gt;"",I8&lt;&gt;"",E8&lt;&gt;""),IF(OR(AND(UPPER(E8)="1",H8&gt;I8),AND(UPPER(E8)="X",H8=I8),AND(UPPER(E8)="2",H8&lt;I8)),1,0),"")</f>
        <v/>
      </c>
      <c r="K8" s="86" t="str">
        <f t="shared" ref="K8:K9" si="4">IF(AND(H8&lt;&gt;"",I8&lt;&gt;"",C8&lt;&gt;"",D8&lt;&gt;""),IF(AND(H8=C8,I8=D8),3,0),"")</f>
        <v/>
      </c>
      <c r="L8" s="87" t="s">
        <v>271</v>
      </c>
      <c r="M8" s="102" t="s">
        <v>108</v>
      </c>
    </row>
    <row r="9" ht="21.75" customHeight="1">
      <c r="A9" s="73">
        <v>2.0</v>
      </c>
      <c r="B9" s="74" t="s">
        <v>146</v>
      </c>
      <c r="C9" s="75">
        <v>2.0</v>
      </c>
      <c r="D9" s="75">
        <v>1.0</v>
      </c>
      <c r="E9" s="75">
        <v>1.0</v>
      </c>
      <c r="F9" s="76" t="s">
        <v>70</v>
      </c>
      <c r="G9" s="77" t="s">
        <v>138</v>
      </c>
      <c r="H9" s="78"/>
      <c r="I9" s="78"/>
      <c r="J9" s="79" t="str">
        <f t="shared" si="3"/>
        <v/>
      </c>
      <c r="K9" s="79" t="str">
        <f t="shared" si="4"/>
        <v/>
      </c>
      <c r="L9" s="80" t="s">
        <v>271</v>
      </c>
      <c r="M9" s="89" t="s">
        <v>166</v>
      </c>
    </row>
    <row r="10" ht="18.0" customHeight="1">
      <c r="A10" s="39" t="s">
        <v>218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ht="21.75" customHeight="1">
      <c r="A11" s="73">
        <v>3.0</v>
      </c>
      <c r="B11" s="74" t="s">
        <v>138</v>
      </c>
      <c r="C11" s="75">
        <v>0.0</v>
      </c>
      <c r="D11" s="75">
        <v>2.0</v>
      </c>
      <c r="E11" s="75">
        <v>2.0</v>
      </c>
      <c r="F11" s="76" t="s">
        <v>70</v>
      </c>
      <c r="G11" s="77" t="s">
        <v>145</v>
      </c>
      <c r="H11" s="78"/>
      <c r="I11" s="78"/>
      <c r="J11" s="79" t="str">
        <f t="shared" ref="J11:J12" si="5">IF(AND(H11&lt;&gt;"",I11&lt;&gt;"",E11&lt;&gt;""),IF(OR(AND(UPPER(E11)="1",H11&gt;I11),AND(UPPER(E11)="X",H11=I11),AND(UPPER(E11)="2",H11&lt;I11)),1,0),"")</f>
        <v/>
      </c>
      <c r="K11" s="79" t="str">
        <f t="shared" ref="K11:K12" si="6">IF(AND(H11&lt;&gt;"",I11&lt;&gt;"",C11&lt;&gt;"",D11&lt;&gt;""),IF(AND(H11=C11,I11=D11),3,0),"")</f>
        <v/>
      </c>
      <c r="L11" s="80" t="s">
        <v>272</v>
      </c>
      <c r="M11" s="89" t="s">
        <v>81</v>
      </c>
    </row>
    <row r="12" ht="21.75" customHeight="1">
      <c r="A12" s="82">
        <v>3.0</v>
      </c>
      <c r="B12" s="83" t="s">
        <v>146</v>
      </c>
      <c r="C12" s="75">
        <v>1.0</v>
      </c>
      <c r="D12" s="75">
        <v>0.0</v>
      </c>
      <c r="E12" s="75">
        <v>1.0</v>
      </c>
      <c r="F12" s="84" t="s">
        <v>70</v>
      </c>
      <c r="G12" s="85" t="s">
        <v>137</v>
      </c>
      <c r="H12" s="78"/>
      <c r="I12" s="78"/>
      <c r="J12" s="86" t="str">
        <f t="shared" si="5"/>
        <v/>
      </c>
      <c r="K12" s="86" t="str">
        <f t="shared" si="6"/>
        <v/>
      </c>
      <c r="L12" s="87" t="s">
        <v>272</v>
      </c>
      <c r="M12" s="88" t="s">
        <v>81</v>
      </c>
    </row>
    <row r="14" ht="21.75" customHeight="1">
      <c r="A14" s="90" t="s">
        <v>220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ht="21.75" customHeight="1">
      <c r="A15" s="91" t="s">
        <v>221</v>
      </c>
      <c r="B15" s="92" t="s">
        <v>222</v>
      </c>
      <c r="C15" s="17"/>
      <c r="D15" s="17"/>
      <c r="E15" s="17"/>
      <c r="F15" s="18"/>
      <c r="G15" s="93" t="s">
        <v>223</v>
      </c>
      <c r="H15" s="17"/>
      <c r="I15" s="18"/>
      <c r="J15" s="94" t="s">
        <v>224</v>
      </c>
      <c r="K15" s="17"/>
      <c r="L15" s="17"/>
      <c r="M15" s="18"/>
    </row>
    <row r="16" ht="21.75" customHeight="1">
      <c r="A16" s="28" t="s">
        <v>225</v>
      </c>
      <c r="B16" s="95" t="s">
        <v>289</v>
      </c>
      <c r="C16" s="17"/>
      <c r="D16" s="17"/>
      <c r="E16" s="17"/>
      <c r="F16" s="18"/>
      <c r="G16" s="96"/>
      <c r="H16" s="17"/>
      <c r="I16" s="18"/>
      <c r="J16" s="97" t="str">
        <f>IF(AND(B16&lt;&gt;"",G16&lt;&gt;""),IF(LOWER(TRIM(B16))=LOWER(TRIM(G16)),4,0),"")</f>
        <v/>
      </c>
      <c r="K16" s="17"/>
      <c r="L16" s="17"/>
      <c r="M16" s="18"/>
    </row>
    <row r="17" ht="21.75" customHeight="1">
      <c r="A17" s="28" t="s">
        <v>227</v>
      </c>
      <c r="B17" s="95" t="s">
        <v>290</v>
      </c>
      <c r="C17" s="17"/>
      <c r="D17" s="17"/>
      <c r="E17" s="17"/>
      <c r="F17" s="18"/>
      <c r="G17" s="96"/>
      <c r="H17" s="17"/>
      <c r="I17" s="18"/>
      <c r="J17" s="97" t="str">
        <f>IF(AND(B17&lt;&gt;"",G17&lt;&gt;""),IF(LOWER(TRIM(B17))=LOWER(TRIM(G17)),2,0),"")</f>
        <v/>
      </c>
      <c r="K17" s="17"/>
      <c r="L17" s="17"/>
      <c r="M17" s="18"/>
    </row>
    <row r="18" ht="21.75" customHeight="1">
      <c r="A18" s="28" t="s">
        <v>229</v>
      </c>
      <c r="B18" s="95" t="s">
        <v>291</v>
      </c>
      <c r="C18" s="17"/>
      <c r="D18" s="17"/>
      <c r="E18" s="17"/>
      <c r="F18" s="18"/>
      <c r="G18" s="96"/>
      <c r="H18" s="17"/>
      <c r="I18" s="18"/>
      <c r="J18" s="97"/>
      <c r="K18" s="17"/>
      <c r="L18" s="17"/>
      <c r="M18" s="18"/>
    </row>
    <row r="20" ht="21.75" customHeight="1">
      <c r="A20" s="98" t="s">
        <v>292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</row>
    <row r="21" ht="19.5" customHeight="1">
      <c r="A21" s="29" t="s">
        <v>232</v>
      </c>
      <c r="B21" s="17"/>
      <c r="C21" s="17"/>
      <c r="D21" s="17"/>
      <c r="E21" s="17"/>
      <c r="F21" s="17"/>
      <c r="G21" s="17"/>
      <c r="H21" s="17"/>
      <c r="I21" s="18"/>
      <c r="J21" s="99">
        <f>IFERROR(SUM(J5:J12),0)</f>
        <v>0</v>
      </c>
      <c r="K21" s="17"/>
      <c r="L21" s="17"/>
      <c r="M21" s="18"/>
    </row>
    <row r="22" ht="19.5" customHeight="1">
      <c r="A22" s="29" t="s">
        <v>233</v>
      </c>
      <c r="B22" s="17"/>
      <c r="C22" s="17"/>
      <c r="D22" s="17"/>
      <c r="E22" s="17"/>
      <c r="F22" s="17"/>
      <c r="G22" s="17"/>
      <c r="H22" s="17"/>
      <c r="I22" s="18"/>
      <c r="J22" s="99">
        <f>IFERROR(SUM(K5:K12),0)</f>
        <v>0</v>
      </c>
      <c r="K22" s="17"/>
      <c r="L22" s="17"/>
      <c r="M22" s="18"/>
    </row>
    <row r="23" ht="19.5" customHeight="1">
      <c r="A23" s="29" t="s">
        <v>234</v>
      </c>
      <c r="B23" s="17"/>
      <c r="C23" s="17"/>
      <c r="D23" s="17"/>
      <c r="E23" s="17"/>
      <c r="F23" s="17"/>
      <c r="G23" s="17"/>
      <c r="H23" s="17"/>
      <c r="I23" s="18"/>
      <c r="J23" s="99">
        <f>IFERROR(J16+J17,0)</f>
        <v>0</v>
      </c>
      <c r="K23" s="17"/>
      <c r="L23" s="17"/>
      <c r="M23" s="18"/>
    </row>
    <row r="24" ht="19.5" customHeight="1">
      <c r="A24" s="29" t="s">
        <v>235</v>
      </c>
      <c r="B24" s="17"/>
      <c r="C24" s="17"/>
      <c r="D24" s="17"/>
      <c r="E24" s="17"/>
      <c r="F24" s="17"/>
      <c r="G24" s="17"/>
      <c r="H24" s="17"/>
      <c r="I24" s="18"/>
      <c r="J24" s="99" t="str">
        <f>IFERROR(J18,0)</f>
        <v/>
      </c>
      <c r="K24" s="17"/>
      <c r="L24" s="17"/>
      <c r="M24" s="18"/>
    </row>
    <row r="25" ht="25.5" customHeight="1">
      <c r="A25" s="100" t="s">
        <v>236</v>
      </c>
      <c r="B25" s="17"/>
      <c r="C25" s="17"/>
      <c r="D25" s="17"/>
      <c r="E25" s="17"/>
      <c r="F25" s="17"/>
      <c r="G25" s="17"/>
      <c r="H25" s="17"/>
      <c r="I25" s="18"/>
      <c r="J25" s="101">
        <f>J21+J22+J23+J24</f>
        <v>0</v>
      </c>
      <c r="K25" s="17"/>
      <c r="L25" s="17"/>
      <c r="M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G15:I15"/>
    <mergeCell ref="J15:M15"/>
    <mergeCell ref="A1:M1"/>
    <mergeCell ref="A2:M2"/>
    <mergeCell ref="A4:M4"/>
    <mergeCell ref="A7:M7"/>
    <mergeCell ref="A10:M10"/>
    <mergeCell ref="A14:M14"/>
    <mergeCell ref="B15:F15"/>
    <mergeCell ref="G18:I18"/>
    <mergeCell ref="J18:M18"/>
    <mergeCell ref="B16:F16"/>
    <mergeCell ref="G16:I16"/>
    <mergeCell ref="J16:M16"/>
    <mergeCell ref="B17:F17"/>
    <mergeCell ref="G17:I17"/>
    <mergeCell ref="J17:M17"/>
    <mergeCell ref="B18:F18"/>
    <mergeCell ref="A24:I24"/>
    <mergeCell ref="J24:M24"/>
    <mergeCell ref="A25:I25"/>
    <mergeCell ref="J25:M25"/>
    <mergeCell ref="A20:M20"/>
    <mergeCell ref="A21:I21"/>
    <mergeCell ref="J21:M21"/>
    <mergeCell ref="A22:I22"/>
    <mergeCell ref="J22:M22"/>
    <mergeCell ref="A23:I23"/>
    <mergeCell ref="J23:M23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7.0"/>
    <col customWidth="1" min="3" max="5" width="7.0"/>
    <col customWidth="1" min="6" max="6" width="4.0"/>
    <col customWidth="1" min="7" max="7" width="17.0"/>
    <col customWidth="1" min="8" max="9" width="7.0"/>
    <col customWidth="1" min="10" max="11" width="8.0"/>
    <col customWidth="1" min="12" max="12" width="9.0"/>
    <col customWidth="1" min="13" max="13" width="7.0"/>
    <col customWidth="1" min="14" max="26" width="8.71"/>
  </cols>
  <sheetData>
    <row r="1" ht="31.5" customHeight="1">
      <c r="A1" s="67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1.5" customHeight="1">
      <c r="A2" s="68" t="s">
        <v>201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ht="39.75" customHeight="1">
      <c r="A3" s="69" t="s">
        <v>202</v>
      </c>
      <c r="B3" s="69" t="s">
        <v>69</v>
      </c>
      <c r="C3" s="70" t="s">
        <v>203</v>
      </c>
      <c r="D3" s="70" t="s">
        <v>204</v>
      </c>
      <c r="E3" s="70" t="s">
        <v>205</v>
      </c>
      <c r="F3" s="69" t="s">
        <v>70</v>
      </c>
      <c r="G3" s="69" t="s">
        <v>71</v>
      </c>
      <c r="H3" s="71" t="s">
        <v>206</v>
      </c>
      <c r="I3" s="71" t="s">
        <v>207</v>
      </c>
      <c r="J3" s="72" t="s">
        <v>208</v>
      </c>
      <c r="K3" s="72" t="s">
        <v>209</v>
      </c>
      <c r="L3" s="69" t="s">
        <v>67</v>
      </c>
      <c r="M3" s="69" t="s">
        <v>210</v>
      </c>
    </row>
    <row r="4" ht="18.0" customHeight="1">
      <c r="A4" s="39" t="s">
        <v>211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ht="21.75" customHeight="1">
      <c r="A5" s="73">
        <v>1.0</v>
      </c>
      <c r="B5" s="74" t="s">
        <v>147</v>
      </c>
      <c r="C5" s="75">
        <v>2.0</v>
      </c>
      <c r="D5" s="75">
        <v>1.0</v>
      </c>
      <c r="E5" s="75">
        <v>1.0</v>
      </c>
      <c r="F5" s="76" t="s">
        <v>70</v>
      </c>
      <c r="G5" s="77" t="s">
        <v>148</v>
      </c>
      <c r="H5" s="78"/>
      <c r="I5" s="78"/>
      <c r="J5" s="79" t="str">
        <f t="shared" ref="J5:J6" si="1">IF(AND(H5&lt;&gt;"",I5&lt;&gt;"",E5&lt;&gt;""),IF(OR(AND(UPPER(E5)="1",H5&gt;I5),AND(UPPER(E5)="X",H5=I5),AND(UPPER(E5)="2",H5&lt;I5)),1,0),"")</f>
        <v/>
      </c>
      <c r="K5" s="79" t="str">
        <f t="shared" ref="K5:K6" si="2">IF(AND(H5&lt;&gt;"",I5&lt;&gt;"",C5&lt;&gt;"",D5&lt;&gt;""),IF(AND(H5=C5,I5=D5),3,0),"")</f>
        <v/>
      </c>
      <c r="L5" s="80" t="s">
        <v>282</v>
      </c>
      <c r="M5" s="81" t="s">
        <v>108</v>
      </c>
    </row>
    <row r="6" ht="21.75" customHeight="1">
      <c r="A6" s="82">
        <v>1.0</v>
      </c>
      <c r="B6" s="83" t="s">
        <v>154</v>
      </c>
      <c r="C6" s="75">
        <v>0.0</v>
      </c>
      <c r="D6" s="75">
        <v>2.0</v>
      </c>
      <c r="E6" s="75">
        <v>2.0</v>
      </c>
      <c r="F6" s="84" t="s">
        <v>70</v>
      </c>
      <c r="G6" s="85" t="s">
        <v>155</v>
      </c>
      <c r="H6" s="78"/>
      <c r="I6" s="78"/>
      <c r="J6" s="86" t="str">
        <f t="shared" si="1"/>
        <v/>
      </c>
      <c r="K6" s="86" t="str">
        <f t="shared" si="2"/>
        <v/>
      </c>
      <c r="L6" s="87" t="s">
        <v>217</v>
      </c>
      <c r="M6" s="88" t="s">
        <v>81</v>
      </c>
    </row>
    <row r="7" ht="18.0" customHeight="1">
      <c r="A7" s="39" t="s">
        <v>215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ht="21.75" customHeight="1">
      <c r="A8" s="82">
        <v>2.0</v>
      </c>
      <c r="B8" s="83" t="s">
        <v>147</v>
      </c>
      <c r="C8" s="75">
        <v>4.0</v>
      </c>
      <c r="D8" s="75">
        <v>0.0</v>
      </c>
      <c r="E8" s="75">
        <v>1.0</v>
      </c>
      <c r="F8" s="84" t="s">
        <v>70</v>
      </c>
      <c r="G8" s="85" t="s">
        <v>154</v>
      </c>
      <c r="H8" s="78"/>
      <c r="I8" s="78"/>
      <c r="J8" s="86" t="str">
        <f t="shared" ref="J8:J9" si="3">IF(AND(H8&lt;&gt;"",I8&lt;&gt;"",E8&lt;&gt;""),IF(OR(AND(UPPER(E8)="1",H8&gt;I8),AND(UPPER(E8)="X",H8=I8),AND(UPPER(E8)="2",H8&lt;I8)),1,0),"")</f>
        <v/>
      </c>
      <c r="K8" s="86" t="str">
        <f t="shared" ref="K8:K9" si="4">IF(AND(H8&lt;&gt;"",I8&lt;&gt;"",C8&lt;&gt;"",D8&lt;&gt;""),IF(AND(H8=C8,I8=D8),3,0),"")</f>
        <v/>
      </c>
      <c r="L8" s="87" t="s">
        <v>283</v>
      </c>
      <c r="M8" s="102" t="s">
        <v>108</v>
      </c>
    </row>
    <row r="9" ht="21.75" customHeight="1">
      <c r="A9" s="73">
        <v>2.0</v>
      </c>
      <c r="B9" s="74" t="s">
        <v>148</v>
      </c>
      <c r="C9" s="75">
        <v>0.0</v>
      </c>
      <c r="D9" s="75">
        <v>2.0</v>
      </c>
      <c r="E9" s="75">
        <v>2.0</v>
      </c>
      <c r="F9" s="76" t="s">
        <v>70</v>
      </c>
      <c r="G9" s="77" t="s">
        <v>155</v>
      </c>
      <c r="H9" s="78"/>
      <c r="I9" s="78"/>
      <c r="J9" s="79" t="str">
        <f t="shared" si="3"/>
        <v/>
      </c>
      <c r="K9" s="79" t="str">
        <f t="shared" si="4"/>
        <v/>
      </c>
      <c r="L9" s="80" t="s">
        <v>283</v>
      </c>
      <c r="M9" s="81" t="s">
        <v>112</v>
      </c>
    </row>
    <row r="10" ht="18.0" customHeight="1">
      <c r="A10" s="39" t="s">
        <v>218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ht="21.75" customHeight="1">
      <c r="A11" s="73">
        <v>3.0</v>
      </c>
      <c r="B11" s="74" t="s">
        <v>155</v>
      </c>
      <c r="C11" s="75">
        <v>1.0</v>
      </c>
      <c r="D11" s="75">
        <v>1.0</v>
      </c>
      <c r="E11" s="75" t="s">
        <v>213</v>
      </c>
      <c r="F11" s="76" t="s">
        <v>70</v>
      </c>
      <c r="G11" s="77" t="s">
        <v>147</v>
      </c>
      <c r="H11" s="78"/>
      <c r="I11" s="78"/>
      <c r="J11" s="79" t="str">
        <f t="shared" ref="J11:J12" si="5">IF(AND(H11&lt;&gt;"",I11&lt;&gt;"",E11&lt;&gt;""),IF(OR(AND(UPPER(E11)="1",H11&gt;I11),AND(UPPER(E11)="X",H11=I11),AND(UPPER(E11)="2",H11&lt;I11)),1,0),"")</f>
        <v/>
      </c>
      <c r="K11" s="79" t="str">
        <f t="shared" ref="K11:K12" si="6">IF(AND(H11&lt;&gt;"",I11&lt;&gt;"",C11&lt;&gt;"",D11&lt;&gt;""),IF(AND(H11=C11,I11=D11),3,0),"")</f>
        <v/>
      </c>
      <c r="L11" s="80" t="s">
        <v>294</v>
      </c>
      <c r="M11" s="89" t="s">
        <v>175</v>
      </c>
    </row>
    <row r="12" ht="21.75" customHeight="1">
      <c r="A12" s="82">
        <v>3.0</v>
      </c>
      <c r="B12" s="83" t="s">
        <v>148</v>
      </c>
      <c r="C12" s="75">
        <v>3.0</v>
      </c>
      <c r="D12" s="75">
        <v>1.0</v>
      </c>
      <c r="E12" s="75">
        <v>1.0</v>
      </c>
      <c r="F12" s="84" t="s">
        <v>70</v>
      </c>
      <c r="G12" s="85" t="s">
        <v>154</v>
      </c>
      <c r="H12" s="78"/>
      <c r="I12" s="78"/>
      <c r="J12" s="86" t="str">
        <f t="shared" si="5"/>
        <v/>
      </c>
      <c r="K12" s="86" t="str">
        <f t="shared" si="6"/>
        <v/>
      </c>
      <c r="L12" s="87" t="s">
        <v>294</v>
      </c>
      <c r="M12" s="88" t="s">
        <v>175</v>
      </c>
    </row>
    <row r="14" ht="21.75" customHeight="1">
      <c r="A14" s="90" t="s">
        <v>220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ht="21.75" customHeight="1">
      <c r="A15" s="91" t="s">
        <v>221</v>
      </c>
      <c r="B15" s="92" t="s">
        <v>222</v>
      </c>
      <c r="C15" s="17"/>
      <c r="D15" s="17"/>
      <c r="E15" s="17"/>
      <c r="F15" s="18"/>
      <c r="G15" s="93" t="s">
        <v>223</v>
      </c>
      <c r="H15" s="17"/>
      <c r="I15" s="18"/>
      <c r="J15" s="94" t="s">
        <v>224</v>
      </c>
      <c r="K15" s="17"/>
      <c r="L15" s="17"/>
      <c r="M15" s="18"/>
    </row>
    <row r="16" ht="21.75" customHeight="1">
      <c r="A16" s="28" t="s">
        <v>225</v>
      </c>
      <c r="B16" s="95" t="s">
        <v>295</v>
      </c>
      <c r="C16" s="17"/>
      <c r="D16" s="17"/>
      <c r="E16" s="17"/>
      <c r="F16" s="18"/>
      <c r="G16" s="96"/>
      <c r="H16" s="17"/>
      <c r="I16" s="18"/>
      <c r="J16" s="97" t="str">
        <f>IF(AND(B16&lt;&gt;"",G16&lt;&gt;""),IF(LOWER(TRIM(B16))=LOWER(TRIM(G16)),4,0),"")</f>
        <v/>
      </c>
      <c r="K16" s="17"/>
      <c r="L16" s="17"/>
      <c r="M16" s="18"/>
    </row>
    <row r="17" ht="21.75" customHeight="1">
      <c r="A17" s="28" t="s">
        <v>227</v>
      </c>
      <c r="B17" s="95" t="s">
        <v>296</v>
      </c>
      <c r="C17" s="17"/>
      <c r="D17" s="17"/>
      <c r="E17" s="17"/>
      <c r="F17" s="18"/>
      <c r="G17" s="96"/>
      <c r="H17" s="17"/>
      <c r="I17" s="18"/>
      <c r="J17" s="97" t="str">
        <f>IF(AND(B17&lt;&gt;"",G17&lt;&gt;""),IF(LOWER(TRIM(B17))=LOWER(TRIM(G17)),2,0),"")</f>
        <v/>
      </c>
      <c r="K17" s="17"/>
      <c r="L17" s="17"/>
      <c r="M17" s="18"/>
    </row>
    <row r="18" ht="21.75" customHeight="1">
      <c r="A18" s="28" t="s">
        <v>229</v>
      </c>
      <c r="B18" s="95" t="s">
        <v>297</v>
      </c>
      <c r="C18" s="17"/>
      <c r="D18" s="17"/>
      <c r="E18" s="17"/>
      <c r="F18" s="18"/>
      <c r="G18" s="96"/>
      <c r="H18" s="17"/>
      <c r="I18" s="18"/>
      <c r="J18" s="97"/>
      <c r="K18" s="17"/>
      <c r="L18" s="17"/>
      <c r="M18" s="18"/>
    </row>
    <row r="20" ht="21.75" customHeight="1">
      <c r="A20" s="98" t="s">
        <v>298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</row>
    <row r="21" ht="19.5" customHeight="1">
      <c r="A21" s="29" t="s">
        <v>232</v>
      </c>
      <c r="B21" s="17"/>
      <c r="C21" s="17"/>
      <c r="D21" s="17"/>
      <c r="E21" s="17"/>
      <c r="F21" s="17"/>
      <c r="G21" s="17"/>
      <c r="H21" s="17"/>
      <c r="I21" s="18"/>
      <c r="J21" s="99">
        <f>IFERROR(SUM(J5:J12),0)</f>
        <v>0</v>
      </c>
      <c r="K21" s="17"/>
      <c r="L21" s="17"/>
      <c r="M21" s="18"/>
    </row>
    <row r="22" ht="19.5" customHeight="1">
      <c r="A22" s="29" t="s">
        <v>233</v>
      </c>
      <c r="B22" s="17"/>
      <c r="C22" s="17"/>
      <c r="D22" s="17"/>
      <c r="E22" s="17"/>
      <c r="F22" s="17"/>
      <c r="G22" s="17"/>
      <c r="H22" s="17"/>
      <c r="I22" s="18"/>
      <c r="J22" s="99">
        <f>IFERROR(SUM(K5:K12),0)</f>
        <v>0</v>
      </c>
      <c r="K22" s="17"/>
      <c r="L22" s="17"/>
      <c r="M22" s="18"/>
    </row>
    <row r="23" ht="19.5" customHeight="1">
      <c r="A23" s="29" t="s">
        <v>234</v>
      </c>
      <c r="B23" s="17"/>
      <c r="C23" s="17"/>
      <c r="D23" s="17"/>
      <c r="E23" s="17"/>
      <c r="F23" s="17"/>
      <c r="G23" s="17"/>
      <c r="H23" s="17"/>
      <c r="I23" s="18"/>
      <c r="J23" s="99">
        <f>IFERROR(J16+J17,0)</f>
        <v>0</v>
      </c>
      <c r="K23" s="17"/>
      <c r="L23" s="17"/>
      <c r="M23" s="18"/>
    </row>
    <row r="24" ht="19.5" customHeight="1">
      <c r="A24" s="29" t="s">
        <v>235</v>
      </c>
      <c r="B24" s="17"/>
      <c r="C24" s="17"/>
      <c r="D24" s="17"/>
      <c r="E24" s="17"/>
      <c r="F24" s="17"/>
      <c r="G24" s="17"/>
      <c r="H24" s="17"/>
      <c r="I24" s="18"/>
      <c r="J24" s="99" t="str">
        <f>IFERROR(J18,0)</f>
        <v/>
      </c>
      <c r="K24" s="17"/>
      <c r="L24" s="17"/>
      <c r="M24" s="18"/>
    </row>
    <row r="25" ht="25.5" customHeight="1">
      <c r="A25" s="100" t="s">
        <v>236</v>
      </c>
      <c r="B25" s="17"/>
      <c r="C25" s="17"/>
      <c r="D25" s="17"/>
      <c r="E25" s="17"/>
      <c r="F25" s="17"/>
      <c r="G25" s="17"/>
      <c r="H25" s="17"/>
      <c r="I25" s="18"/>
      <c r="J25" s="101">
        <f>J21+J22+J23+J24</f>
        <v>0</v>
      </c>
      <c r="K25" s="17"/>
      <c r="L25" s="17"/>
      <c r="M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G15:I15"/>
    <mergeCell ref="J15:M15"/>
    <mergeCell ref="A1:M1"/>
    <mergeCell ref="A2:M2"/>
    <mergeCell ref="A4:M4"/>
    <mergeCell ref="A7:M7"/>
    <mergeCell ref="A10:M10"/>
    <mergeCell ref="A14:M14"/>
    <mergeCell ref="B15:F15"/>
    <mergeCell ref="G18:I18"/>
    <mergeCell ref="J18:M18"/>
    <mergeCell ref="B16:F16"/>
    <mergeCell ref="G16:I16"/>
    <mergeCell ref="J16:M16"/>
    <mergeCell ref="B17:F17"/>
    <mergeCell ref="G17:I17"/>
    <mergeCell ref="J17:M17"/>
    <mergeCell ref="B18:F18"/>
    <mergeCell ref="A24:I24"/>
    <mergeCell ref="J24:M24"/>
    <mergeCell ref="A25:I25"/>
    <mergeCell ref="J25:M25"/>
    <mergeCell ref="A20:M20"/>
    <mergeCell ref="A21:I21"/>
    <mergeCell ref="J21:M21"/>
    <mergeCell ref="A22:I22"/>
    <mergeCell ref="J22:M22"/>
    <mergeCell ref="A23:I23"/>
    <mergeCell ref="J23:M23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7.0"/>
    <col customWidth="1" min="3" max="5" width="7.0"/>
    <col customWidth="1" min="6" max="6" width="4.0"/>
    <col customWidth="1" min="7" max="7" width="17.0"/>
    <col customWidth="1" min="8" max="9" width="7.0"/>
    <col customWidth="1" min="10" max="11" width="8.0"/>
    <col customWidth="1" min="12" max="12" width="9.0"/>
    <col customWidth="1" min="13" max="13" width="7.0"/>
    <col customWidth="1" min="14" max="26" width="8.71"/>
  </cols>
  <sheetData>
    <row r="1" ht="31.5" customHeight="1">
      <c r="A1" s="67" t="s">
        <v>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1.5" customHeight="1">
      <c r="A2" s="68" t="s">
        <v>201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ht="39.75" customHeight="1">
      <c r="A3" s="69" t="s">
        <v>202</v>
      </c>
      <c r="B3" s="69" t="s">
        <v>69</v>
      </c>
      <c r="C3" s="70" t="s">
        <v>203</v>
      </c>
      <c r="D3" s="70" t="s">
        <v>204</v>
      </c>
      <c r="E3" s="70" t="s">
        <v>205</v>
      </c>
      <c r="F3" s="69" t="s">
        <v>70</v>
      </c>
      <c r="G3" s="69" t="s">
        <v>71</v>
      </c>
      <c r="H3" s="71" t="s">
        <v>206</v>
      </c>
      <c r="I3" s="71" t="s">
        <v>207</v>
      </c>
      <c r="J3" s="72" t="s">
        <v>208</v>
      </c>
      <c r="K3" s="72" t="s">
        <v>209</v>
      </c>
      <c r="L3" s="69" t="s">
        <v>67</v>
      </c>
      <c r="M3" s="69" t="s">
        <v>210</v>
      </c>
    </row>
    <row r="4" ht="18.0" customHeight="1">
      <c r="A4" s="39" t="s">
        <v>211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ht="21.75" customHeight="1">
      <c r="A5" s="73">
        <v>1.0</v>
      </c>
      <c r="B5" s="74" t="s">
        <v>149</v>
      </c>
      <c r="C5" s="75">
        <v>2.0</v>
      </c>
      <c r="D5" s="75">
        <v>2.0</v>
      </c>
      <c r="E5" s="75">
        <v>1.0</v>
      </c>
      <c r="F5" s="76" t="s">
        <v>70</v>
      </c>
      <c r="G5" s="77" t="s">
        <v>150</v>
      </c>
      <c r="H5" s="78"/>
      <c r="I5" s="78"/>
      <c r="J5" s="79" t="str">
        <f t="shared" ref="J5:J6" si="1">IF(AND(H5&lt;&gt;"",I5&lt;&gt;"",E5&lt;&gt;""),IF(OR(AND(UPPER(E5)="1",H5&gt;I5),AND(UPPER(E5)="X",H5=I5),AND(UPPER(E5)="2",H5&lt;I5)),1,0),"")</f>
        <v/>
      </c>
      <c r="K5" s="79" t="str">
        <f t="shared" ref="K5:K6" si="2">IF(AND(H5&lt;&gt;"",I5&lt;&gt;"",C5&lt;&gt;"",D5&lt;&gt;""),IF(AND(H5=C5,I5=D5),3,0),"")</f>
        <v/>
      </c>
      <c r="L5" s="80" t="s">
        <v>282</v>
      </c>
      <c r="M5" s="81" t="s">
        <v>112</v>
      </c>
    </row>
    <row r="6" ht="21.75" customHeight="1">
      <c r="A6" s="82">
        <v>1.0</v>
      </c>
      <c r="B6" s="83" t="s">
        <v>152</v>
      </c>
      <c r="C6" s="75">
        <v>2.0</v>
      </c>
      <c r="D6" s="75">
        <v>1.0</v>
      </c>
      <c r="E6" s="75">
        <v>1.0</v>
      </c>
      <c r="F6" s="84" t="s">
        <v>70</v>
      </c>
      <c r="G6" s="85" t="s">
        <v>153</v>
      </c>
      <c r="H6" s="78"/>
      <c r="I6" s="78"/>
      <c r="J6" s="86" t="str">
        <f t="shared" si="1"/>
        <v/>
      </c>
      <c r="K6" s="86" t="str">
        <f t="shared" si="2"/>
        <v/>
      </c>
      <c r="L6" s="87" t="s">
        <v>217</v>
      </c>
      <c r="M6" s="88" t="s">
        <v>117</v>
      </c>
    </row>
    <row r="7" ht="18.0" customHeight="1">
      <c r="A7" s="39" t="s">
        <v>215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8" ht="21.75" customHeight="1">
      <c r="A8" s="82">
        <v>2.0</v>
      </c>
      <c r="B8" s="83" t="s">
        <v>149</v>
      </c>
      <c r="C8" s="75">
        <v>1.0</v>
      </c>
      <c r="D8" s="75">
        <v>1.0</v>
      </c>
      <c r="E8" s="75">
        <v>1.0</v>
      </c>
      <c r="F8" s="84" t="s">
        <v>70</v>
      </c>
      <c r="G8" s="85" t="s">
        <v>152</v>
      </c>
      <c r="H8" s="78"/>
      <c r="I8" s="78"/>
      <c r="J8" s="86" t="str">
        <f t="shared" ref="J8:J9" si="3">IF(AND(H8&lt;&gt;"",I8&lt;&gt;"",E8&lt;&gt;""),IF(OR(AND(UPPER(E8)="1",H8&gt;I8),AND(UPPER(E8)="X",H8=I8),AND(UPPER(E8)="2",H8&lt;I8)),1,0),"")</f>
        <v/>
      </c>
      <c r="K8" s="86" t="str">
        <f t="shared" ref="K8:K9" si="4">IF(AND(H8&lt;&gt;"",I8&lt;&gt;"",C8&lt;&gt;"",D8&lt;&gt;""),IF(AND(H8=C8,I8=D8),3,0),"")</f>
        <v/>
      </c>
      <c r="L8" s="87" t="s">
        <v>283</v>
      </c>
      <c r="M8" s="102" t="s">
        <v>112</v>
      </c>
    </row>
    <row r="9" ht="21.75" customHeight="1">
      <c r="A9" s="73">
        <v>2.0</v>
      </c>
      <c r="B9" s="74" t="s">
        <v>153</v>
      </c>
      <c r="C9" s="75">
        <v>1.0</v>
      </c>
      <c r="D9" s="75">
        <v>1.0</v>
      </c>
      <c r="E9" s="115"/>
      <c r="F9" s="76" t="s">
        <v>70</v>
      </c>
      <c r="G9" s="77" t="s">
        <v>150</v>
      </c>
      <c r="H9" s="78"/>
      <c r="I9" s="78"/>
      <c r="J9" s="79" t="str">
        <f t="shared" si="3"/>
        <v/>
      </c>
      <c r="K9" s="79" t="str">
        <f t="shared" si="4"/>
        <v/>
      </c>
      <c r="L9" s="80" t="s">
        <v>283</v>
      </c>
      <c r="M9" s="81" t="s">
        <v>108</v>
      </c>
    </row>
    <row r="10" ht="18.0" customHeight="1">
      <c r="A10" s="39" t="s">
        <v>218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</row>
    <row r="11" ht="21.75" customHeight="1">
      <c r="A11" s="73">
        <v>3.0</v>
      </c>
      <c r="B11" s="74" t="s">
        <v>153</v>
      </c>
      <c r="C11" s="75">
        <v>1.0</v>
      </c>
      <c r="D11" s="75">
        <v>2.0</v>
      </c>
      <c r="E11" s="75">
        <v>2.0</v>
      </c>
      <c r="F11" s="76" t="s">
        <v>70</v>
      </c>
      <c r="G11" s="77" t="s">
        <v>149</v>
      </c>
      <c r="H11" s="78"/>
      <c r="I11" s="78"/>
      <c r="J11" s="79" t="str">
        <f t="shared" ref="J11:J12" si="5">IF(AND(H11&lt;&gt;"",I11&lt;&gt;"",E11&lt;&gt;""),IF(OR(AND(UPPER(E11)="1",H11&gt;I11),AND(UPPER(E11)="X",H11=I11),AND(UPPER(E11)="2",H11&lt;I11)),1,0),"")</f>
        <v/>
      </c>
      <c r="K11" s="79" t="str">
        <f t="shared" ref="K11:K12" si="6">IF(AND(H11&lt;&gt;"",I11&lt;&gt;"",C11&lt;&gt;"",D11&lt;&gt;""),IF(AND(H11=C11,I11=D11),3,0),"")</f>
        <v/>
      </c>
      <c r="L11" s="80" t="s">
        <v>272</v>
      </c>
      <c r="M11" s="81" t="s">
        <v>164</v>
      </c>
    </row>
    <row r="12" ht="21.75" customHeight="1">
      <c r="A12" s="82">
        <v>3.0</v>
      </c>
      <c r="B12" s="83" t="s">
        <v>150</v>
      </c>
      <c r="C12" s="75">
        <v>1.0</v>
      </c>
      <c r="D12" s="75">
        <v>0.0</v>
      </c>
      <c r="E12" s="75">
        <v>1.0</v>
      </c>
      <c r="F12" s="84" t="s">
        <v>70</v>
      </c>
      <c r="G12" s="85" t="s">
        <v>152</v>
      </c>
      <c r="H12" s="78"/>
      <c r="I12" s="78"/>
      <c r="J12" s="86" t="str">
        <f t="shared" si="5"/>
        <v/>
      </c>
      <c r="K12" s="86" t="str">
        <f t="shared" si="6"/>
        <v/>
      </c>
      <c r="L12" s="87" t="s">
        <v>272</v>
      </c>
      <c r="M12" s="102" t="s">
        <v>164</v>
      </c>
    </row>
    <row r="14" ht="21.75" customHeight="1">
      <c r="A14" s="90" t="s">
        <v>220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</row>
    <row r="15" ht="21.75" customHeight="1">
      <c r="A15" s="91" t="s">
        <v>221</v>
      </c>
      <c r="B15" s="92" t="s">
        <v>222</v>
      </c>
      <c r="C15" s="17"/>
      <c r="D15" s="17"/>
      <c r="E15" s="17"/>
      <c r="F15" s="18"/>
      <c r="G15" s="93" t="s">
        <v>223</v>
      </c>
      <c r="H15" s="17"/>
      <c r="I15" s="18"/>
      <c r="J15" s="94" t="s">
        <v>224</v>
      </c>
      <c r="K15" s="17"/>
      <c r="L15" s="17"/>
      <c r="M15" s="18"/>
    </row>
    <row r="16" ht="21.75" customHeight="1">
      <c r="A16" s="28" t="s">
        <v>225</v>
      </c>
      <c r="B16" s="95" t="s">
        <v>300</v>
      </c>
      <c r="C16" s="17"/>
      <c r="D16" s="17"/>
      <c r="E16" s="17"/>
      <c r="F16" s="18"/>
      <c r="G16" s="96"/>
      <c r="H16" s="17"/>
      <c r="I16" s="18"/>
      <c r="J16" s="97" t="str">
        <f>IF(AND(B16&lt;&gt;"",G16&lt;&gt;""),IF(LOWER(TRIM(B16))=LOWER(TRIM(G16)),4,0),"")</f>
        <v/>
      </c>
      <c r="K16" s="17"/>
      <c r="L16" s="17"/>
      <c r="M16" s="18"/>
    </row>
    <row r="17" ht="21.75" customHeight="1">
      <c r="A17" s="28" t="s">
        <v>227</v>
      </c>
      <c r="B17" s="95" t="s">
        <v>301</v>
      </c>
      <c r="C17" s="17"/>
      <c r="D17" s="17"/>
      <c r="E17" s="17"/>
      <c r="F17" s="18"/>
      <c r="G17" s="96"/>
      <c r="H17" s="17"/>
      <c r="I17" s="18"/>
      <c r="J17" s="97" t="str">
        <f>IF(AND(B17&lt;&gt;"",G17&lt;&gt;""),IF(LOWER(TRIM(B17))=LOWER(TRIM(G17)),2,0),"")</f>
        <v/>
      </c>
      <c r="K17" s="17"/>
      <c r="L17" s="17"/>
      <c r="M17" s="18"/>
    </row>
    <row r="18" ht="21.75" customHeight="1">
      <c r="A18" s="28" t="s">
        <v>229</v>
      </c>
      <c r="B18" s="95" t="s">
        <v>302</v>
      </c>
      <c r="C18" s="17"/>
      <c r="D18" s="17"/>
      <c r="E18" s="17"/>
      <c r="F18" s="18"/>
      <c r="G18" s="96"/>
      <c r="H18" s="17"/>
      <c r="I18" s="18"/>
      <c r="J18" s="97"/>
      <c r="K18" s="17"/>
      <c r="L18" s="17"/>
      <c r="M18" s="18"/>
    </row>
    <row r="20" ht="21.75" customHeight="1">
      <c r="A20" s="98" t="s">
        <v>303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</row>
    <row r="21" ht="19.5" customHeight="1">
      <c r="A21" s="29" t="s">
        <v>232</v>
      </c>
      <c r="B21" s="17"/>
      <c r="C21" s="17"/>
      <c r="D21" s="17"/>
      <c r="E21" s="17"/>
      <c r="F21" s="17"/>
      <c r="G21" s="17"/>
      <c r="H21" s="17"/>
      <c r="I21" s="18"/>
      <c r="J21" s="99">
        <f>IFERROR(SUM(J5:J12),0)</f>
        <v>0</v>
      </c>
      <c r="K21" s="17"/>
      <c r="L21" s="17"/>
      <c r="M21" s="18"/>
    </row>
    <row r="22" ht="19.5" customHeight="1">
      <c r="A22" s="29" t="s">
        <v>233</v>
      </c>
      <c r="B22" s="17"/>
      <c r="C22" s="17"/>
      <c r="D22" s="17"/>
      <c r="E22" s="17"/>
      <c r="F22" s="17"/>
      <c r="G22" s="17"/>
      <c r="H22" s="17"/>
      <c r="I22" s="18"/>
      <c r="J22" s="99">
        <f>IFERROR(SUM(K5:K12),0)</f>
        <v>0</v>
      </c>
      <c r="K22" s="17"/>
      <c r="L22" s="17"/>
      <c r="M22" s="18"/>
    </row>
    <row r="23" ht="19.5" customHeight="1">
      <c r="A23" s="29" t="s">
        <v>234</v>
      </c>
      <c r="B23" s="17"/>
      <c r="C23" s="17"/>
      <c r="D23" s="17"/>
      <c r="E23" s="17"/>
      <c r="F23" s="17"/>
      <c r="G23" s="17"/>
      <c r="H23" s="17"/>
      <c r="I23" s="18"/>
      <c r="J23" s="99">
        <f>IFERROR(J16+J17,0)</f>
        <v>0</v>
      </c>
      <c r="K23" s="17"/>
      <c r="L23" s="17"/>
      <c r="M23" s="18"/>
    </row>
    <row r="24" ht="19.5" customHeight="1">
      <c r="A24" s="29" t="s">
        <v>235</v>
      </c>
      <c r="B24" s="17"/>
      <c r="C24" s="17"/>
      <c r="D24" s="17"/>
      <c r="E24" s="17"/>
      <c r="F24" s="17"/>
      <c r="G24" s="17"/>
      <c r="H24" s="17"/>
      <c r="I24" s="18"/>
      <c r="J24" s="99" t="str">
        <f>IFERROR(J18,0)</f>
        <v/>
      </c>
      <c r="K24" s="17"/>
      <c r="L24" s="17"/>
      <c r="M24" s="18"/>
    </row>
    <row r="25" ht="25.5" customHeight="1">
      <c r="A25" s="100" t="s">
        <v>236</v>
      </c>
      <c r="B25" s="17"/>
      <c r="C25" s="17"/>
      <c r="D25" s="17"/>
      <c r="E25" s="17"/>
      <c r="F25" s="17"/>
      <c r="G25" s="17"/>
      <c r="H25" s="17"/>
      <c r="I25" s="18"/>
      <c r="J25" s="101">
        <f>J21+J22+J23+J24</f>
        <v>0</v>
      </c>
      <c r="K25" s="17"/>
      <c r="L25" s="17"/>
      <c r="M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G15:I15"/>
    <mergeCell ref="J15:M15"/>
    <mergeCell ref="A1:M1"/>
    <mergeCell ref="A2:M2"/>
    <mergeCell ref="A4:M4"/>
    <mergeCell ref="A7:M7"/>
    <mergeCell ref="A10:M10"/>
    <mergeCell ref="A14:M14"/>
    <mergeCell ref="B15:F15"/>
    <mergeCell ref="G18:I18"/>
    <mergeCell ref="J18:M18"/>
    <mergeCell ref="B16:F16"/>
    <mergeCell ref="G16:I16"/>
    <mergeCell ref="J16:M16"/>
    <mergeCell ref="B17:F17"/>
    <mergeCell ref="G17:I17"/>
    <mergeCell ref="J17:M17"/>
    <mergeCell ref="B18:F18"/>
    <mergeCell ref="A24:I24"/>
    <mergeCell ref="J24:M24"/>
    <mergeCell ref="A25:I25"/>
    <mergeCell ref="J25:M25"/>
    <mergeCell ref="A20:M20"/>
    <mergeCell ref="A21:I21"/>
    <mergeCell ref="J21:M21"/>
    <mergeCell ref="A22:I22"/>
    <mergeCell ref="J22:M22"/>
    <mergeCell ref="A23:I23"/>
    <mergeCell ref="J23:M23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4" width="8.0"/>
    <col customWidth="1" min="5" max="5" width="5.0"/>
    <col customWidth="1" min="6" max="7" width="22.0"/>
    <col customWidth="1" min="8" max="8" width="8.0"/>
    <col customWidth="1" min="9" max="26" width="8.71"/>
  </cols>
  <sheetData>
    <row r="1" ht="36.0" customHeight="1">
      <c r="A1" s="116" t="s">
        <v>304</v>
      </c>
      <c r="B1" s="2"/>
      <c r="C1" s="2"/>
      <c r="D1" s="2"/>
      <c r="E1" s="2"/>
      <c r="F1" s="2"/>
      <c r="G1" s="2"/>
      <c r="H1" s="3"/>
    </row>
    <row r="2" ht="24.0" customHeight="1">
      <c r="A2" s="117" t="s">
        <v>305</v>
      </c>
      <c r="B2" s="17"/>
      <c r="C2" s="17"/>
      <c r="D2" s="17"/>
      <c r="E2" s="17"/>
      <c r="F2" s="17"/>
      <c r="G2" s="17"/>
      <c r="H2" s="18"/>
    </row>
    <row r="3" ht="24.0" customHeight="1">
      <c r="A3" s="90" t="s">
        <v>306</v>
      </c>
      <c r="B3" s="17"/>
      <c r="C3" s="17"/>
      <c r="D3" s="17"/>
      <c r="E3" s="17"/>
      <c r="F3" s="17"/>
      <c r="G3" s="17"/>
      <c r="H3" s="18"/>
    </row>
    <row r="4" ht="30.0" customHeight="1">
      <c r="A4" s="69" t="s">
        <v>307</v>
      </c>
      <c r="B4" s="70" t="s">
        <v>308</v>
      </c>
      <c r="C4" s="70" t="s">
        <v>309</v>
      </c>
      <c r="D4" s="70" t="s">
        <v>310</v>
      </c>
      <c r="E4" s="69" t="s">
        <v>70</v>
      </c>
      <c r="F4" s="70" t="s">
        <v>311</v>
      </c>
      <c r="G4" s="71" t="s">
        <v>312</v>
      </c>
      <c r="H4" s="69" t="s">
        <v>313</v>
      </c>
    </row>
    <row r="5" ht="21.75" customHeight="1">
      <c r="A5" s="73">
        <v>1.0</v>
      </c>
      <c r="B5" s="118"/>
      <c r="C5" s="115"/>
      <c r="D5" s="115"/>
      <c r="E5" s="76" t="s">
        <v>70</v>
      </c>
      <c r="F5" s="118"/>
      <c r="G5" s="119"/>
      <c r="H5" s="78" t="str">
        <f t="shared" ref="H5:H20" si="1">IF(AND(B5&lt;&gt;"",G5&lt;&gt;""),IF(LOWER(TRIM(B5))=LOWER(TRIM(G5)),2,IF(LOWER(TRIM(F5))=LOWER(TRIM(G5)),2,0)),"")</f>
        <v/>
      </c>
    </row>
    <row r="6" ht="21.75" customHeight="1">
      <c r="A6" s="82">
        <v>2.0</v>
      </c>
      <c r="B6" s="118"/>
      <c r="C6" s="115"/>
      <c r="D6" s="115"/>
      <c r="E6" s="84" t="s">
        <v>70</v>
      </c>
      <c r="F6" s="118"/>
      <c r="G6" s="119"/>
      <c r="H6" s="78" t="str">
        <f t="shared" si="1"/>
        <v/>
      </c>
    </row>
    <row r="7" ht="21.75" customHeight="1">
      <c r="A7" s="73">
        <v>3.0</v>
      </c>
      <c r="B7" s="118"/>
      <c r="C7" s="115"/>
      <c r="D7" s="115"/>
      <c r="E7" s="76" t="s">
        <v>70</v>
      </c>
      <c r="F7" s="118"/>
      <c r="G7" s="119"/>
      <c r="H7" s="78" t="str">
        <f t="shared" si="1"/>
        <v/>
      </c>
    </row>
    <row r="8" ht="21.75" customHeight="1">
      <c r="A8" s="82">
        <v>4.0</v>
      </c>
      <c r="B8" s="118"/>
      <c r="C8" s="115"/>
      <c r="D8" s="115"/>
      <c r="E8" s="84" t="s">
        <v>70</v>
      </c>
      <c r="F8" s="118"/>
      <c r="G8" s="119"/>
      <c r="H8" s="78" t="str">
        <f t="shared" si="1"/>
        <v/>
      </c>
    </row>
    <row r="9" ht="21.75" customHeight="1">
      <c r="A9" s="73">
        <v>5.0</v>
      </c>
      <c r="B9" s="118"/>
      <c r="C9" s="115"/>
      <c r="D9" s="115"/>
      <c r="E9" s="76" t="s">
        <v>70</v>
      </c>
      <c r="F9" s="118"/>
      <c r="G9" s="119"/>
      <c r="H9" s="78" t="str">
        <f t="shared" si="1"/>
        <v/>
      </c>
    </row>
    <row r="10" ht="21.75" customHeight="1">
      <c r="A10" s="82">
        <v>6.0</v>
      </c>
      <c r="B10" s="118"/>
      <c r="C10" s="115"/>
      <c r="D10" s="115"/>
      <c r="E10" s="84" t="s">
        <v>70</v>
      </c>
      <c r="F10" s="118"/>
      <c r="G10" s="119"/>
      <c r="H10" s="78" t="str">
        <f t="shared" si="1"/>
        <v/>
      </c>
    </row>
    <row r="11" ht="21.75" customHeight="1">
      <c r="A11" s="73">
        <v>7.0</v>
      </c>
      <c r="B11" s="118"/>
      <c r="C11" s="115"/>
      <c r="D11" s="115"/>
      <c r="E11" s="76" t="s">
        <v>70</v>
      </c>
      <c r="F11" s="118"/>
      <c r="G11" s="119"/>
      <c r="H11" s="78" t="str">
        <f t="shared" si="1"/>
        <v/>
      </c>
    </row>
    <row r="12" ht="21.75" customHeight="1">
      <c r="A12" s="82">
        <v>8.0</v>
      </c>
      <c r="B12" s="118"/>
      <c r="C12" s="115"/>
      <c r="D12" s="115"/>
      <c r="E12" s="84" t="s">
        <v>70</v>
      </c>
      <c r="F12" s="118"/>
      <c r="G12" s="119"/>
      <c r="H12" s="78" t="str">
        <f t="shared" si="1"/>
        <v/>
      </c>
    </row>
    <row r="13" ht="21.75" customHeight="1">
      <c r="A13" s="73">
        <v>9.0</v>
      </c>
      <c r="B13" s="118"/>
      <c r="C13" s="115"/>
      <c r="D13" s="115"/>
      <c r="E13" s="76" t="s">
        <v>70</v>
      </c>
      <c r="F13" s="118"/>
      <c r="G13" s="119"/>
      <c r="H13" s="78" t="str">
        <f t="shared" si="1"/>
        <v/>
      </c>
    </row>
    <row r="14" ht="21.75" customHeight="1">
      <c r="A14" s="82">
        <v>10.0</v>
      </c>
      <c r="B14" s="118"/>
      <c r="C14" s="115"/>
      <c r="D14" s="115"/>
      <c r="E14" s="84" t="s">
        <v>70</v>
      </c>
      <c r="F14" s="118"/>
      <c r="G14" s="119"/>
      <c r="H14" s="78" t="str">
        <f t="shared" si="1"/>
        <v/>
      </c>
    </row>
    <row r="15" ht="21.75" customHeight="1">
      <c r="A15" s="73">
        <v>11.0</v>
      </c>
      <c r="B15" s="118"/>
      <c r="C15" s="115"/>
      <c r="D15" s="115"/>
      <c r="E15" s="76" t="s">
        <v>70</v>
      </c>
      <c r="F15" s="118"/>
      <c r="G15" s="119"/>
      <c r="H15" s="78" t="str">
        <f t="shared" si="1"/>
        <v/>
      </c>
    </row>
    <row r="16" ht="21.75" customHeight="1">
      <c r="A16" s="82">
        <v>12.0</v>
      </c>
      <c r="B16" s="118"/>
      <c r="C16" s="115"/>
      <c r="D16" s="115"/>
      <c r="E16" s="84" t="s">
        <v>70</v>
      </c>
      <c r="F16" s="118"/>
      <c r="G16" s="119"/>
      <c r="H16" s="78" t="str">
        <f t="shared" si="1"/>
        <v/>
      </c>
    </row>
    <row r="17" ht="21.75" customHeight="1">
      <c r="A17" s="73">
        <v>13.0</v>
      </c>
      <c r="B17" s="118"/>
      <c r="C17" s="115"/>
      <c r="D17" s="115"/>
      <c r="E17" s="76" t="s">
        <v>70</v>
      </c>
      <c r="F17" s="118"/>
      <c r="G17" s="119"/>
      <c r="H17" s="78" t="str">
        <f t="shared" si="1"/>
        <v/>
      </c>
    </row>
    <row r="18" ht="21.75" customHeight="1">
      <c r="A18" s="82">
        <v>14.0</v>
      </c>
      <c r="B18" s="118"/>
      <c r="C18" s="115"/>
      <c r="D18" s="115"/>
      <c r="E18" s="84" t="s">
        <v>70</v>
      </c>
      <c r="F18" s="118"/>
      <c r="G18" s="119"/>
      <c r="H18" s="78" t="str">
        <f t="shared" si="1"/>
        <v/>
      </c>
    </row>
    <row r="19" ht="21.75" customHeight="1">
      <c r="A19" s="73">
        <v>15.0</v>
      </c>
      <c r="B19" s="118"/>
      <c r="C19" s="115"/>
      <c r="D19" s="115"/>
      <c r="E19" s="76" t="s">
        <v>70</v>
      </c>
      <c r="F19" s="118"/>
      <c r="G19" s="119"/>
      <c r="H19" s="78" t="str">
        <f t="shared" si="1"/>
        <v/>
      </c>
    </row>
    <row r="20" ht="21.75" customHeight="1">
      <c r="A20" s="82">
        <v>16.0</v>
      </c>
      <c r="B20" s="118"/>
      <c r="C20" s="115"/>
      <c r="D20" s="115"/>
      <c r="E20" s="84" t="s">
        <v>70</v>
      </c>
      <c r="F20" s="118"/>
      <c r="G20" s="119"/>
      <c r="H20" s="78" t="str">
        <f t="shared" si="1"/>
        <v/>
      </c>
    </row>
    <row r="21" ht="15.75" customHeight="1"/>
    <row r="22" ht="24.0" customHeight="1">
      <c r="A22" s="120" t="s">
        <v>314</v>
      </c>
      <c r="B22" s="17"/>
      <c r="C22" s="17"/>
      <c r="D22" s="17"/>
      <c r="E22" s="17"/>
      <c r="F22" s="17"/>
      <c r="G22" s="17"/>
      <c r="H22" s="18"/>
    </row>
    <row r="23" ht="30.0" customHeight="1">
      <c r="A23" s="69" t="s">
        <v>307</v>
      </c>
      <c r="B23" s="70" t="s">
        <v>308</v>
      </c>
      <c r="C23" s="70" t="s">
        <v>309</v>
      </c>
      <c r="D23" s="70" t="s">
        <v>310</v>
      </c>
      <c r="E23" s="69" t="s">
        <v>70</v>
      </c>
      <c r="F23" s="70" t="s">
        <v>311</v>
      </c>
      <c r="G23" s="71" t="s">
        <v>312</v>
      </c>
      <c r="H23" s="69" t="s">
        <v>313</v>
      </c>
    </row>
    <row r="24" ht="21.75" customHeight="1">
      <c r="A24" s="73">
        <v>1.0</v>
      </c>
      <c r="B24" s="118"/>
      <c r="C24" s="115"/>
      <c r="D24" s="115"/>
      <c r="E24" s="76" t="s">
        <v>70</v>
      </c>
      <c r="F24" s="118"/>
      <c r="G24" s="119"/>
      <c r="H24" s="78" t="str">
        <f t="shared" ref="H24:H31" si="2">IF(AND(B24&lt;&gt;"",G24&lt;&gt;""),IF(LOWER(TRIM(B24))=LOWER(TRIM(G24)),3,IF(LOWER(TRIM(F24))=LOWER(TRIM(G24)),3,0)),"")</f>
        <v/>
      </c>
    </row>
    <row r="25" ht="21.75" customHeight="1">
      <c r="A25" s="82">
        <v>2.0</v>
      </c>
      <c r="B25" s="118"/>
      <c r="C25" s="115"/>
      <c r="D25" s="115"/>
      <c r="E25" s="84" t="s">
        <v>70</v>
      </c>
      <c r="F25" s="118"/>
      <c r="G25" s="119"/>
      <c r="H25" s="78" t="str">
        <f t="shared" si="2"/>
        <v/>
      </c>
    </row>
    <row r="26" ht="21.75" customHeight="1">
      <c r="A26" s="73">
        <v>3.0</v>
      </c>
      <c r="B26" s="118"/>
      <c r="C26" s="115"/>
      <c r="D26" s="115"/>
      <c r="E26" s="76" t="s">
        <v>70</v>
      </c>
      <c r="F26" s="118"/>
      <c r="G26" s="119"/>
      <c r="H26" s="78" t="str">
        <f t="shared" si="2"/>
        <v/>
      </c>
    </row>
    <row r="27" ht="21.75" customHeight="1">
      <c r="A27" s="82">
        <v>4.0</v>
      </c>
      <c r="B27" s="118"/>
      <c r="C27" s="115"/>
      <c r="D27" s="115"/>
      <c r="E27" s="84" t="s">
        <v>70</v>
      </c>
      <c r="F27" s="118"/>
      <c r="G27" s="119"/>
      <c r="H27" s="78" t="str">
        <f t="shared" si="2"/>
        <v/>
      </c>
    </row>
    <row r="28" ht="21.75" customHeight="1">
      <c r="A28" s="73">
        <v>5.0</v>
      </c>
      <c r="B28" s="118"/>
      <c r="C28" s="115"/>
      <c r="D28" s="115"/>
      <c r="E28" s="76" t="s">
        <v>70</v>
      </c>
      <c r="F28" s="118"/>
      <c r="G28" s="119"/>
      <c r="H28" s="78" t="str">
        <f t="shared" si="2"/>
        <v/>
      </c>
    </row>
    <row r="29" ht="21.75" customHeight="1">
      <c r="A29" s="82">
        <v>6.0</v>
      </c>
      <c r="B29" s="118"/>
      <c r="C29" s="115"/>
      <c r="D29" s="115"/>
      <c r="E29" s="84" t="s">
        <v>70</v>
      </c>
      <c r="F29" s="118"/>
      <c r="G29" s="119"/>
      <c r="H29" s="78" t="str">
        <f t="shared" si="2"/>
        <v/>
      </c>
    </row>
    <row r="30" ht="21.75" customHeight="1">
      <c r="A30" s="73">
        <v>7.0</v>
      </c>
      <c r="B30" s="118"/>
      <c r="C30" s="115"/>
      <c r="D30" s="115"/>
      <c r="E30" s="76" t="s">
        <v>70</v>
      </c>
      <c r="F30" s="118"/>
      <c r="G30" s="119"/>
      <c r="H30" s="78" t="str">
        <f t="shared" si="2"/>
        <v/>
      </c>
    </row>
    <row r="31" ht="21.75" customHeight="1">
      <c r="A31" s="82">
        <v>8.0</v>
      </c>
      <c r="B31" s="118"/>
      <c r="C31" s="115"/>
      <c r="D31" s="115"/>
      <c r="E31" s="84" t="s">
        <v>70</v>
      </c>
      <c r="F31" s="118"/>
      <c r="G31" s="119"/>
      <c r="H31" s="78" t="str">
        <f t="shared" si="2"/>
        <v/>
      </c>
    </row>
    <row r="32" ht="15.75" customHeight="1"/>
    <row r="33" ht="24.0" customHeight="1">
      <c r="A33" s="121" t="s">
        <v>315</v>
      </c>
      <c r="B33" s="17"/>
      <c r="C33" s="17"/>
      <c r="D33" s="17"/>
      <c r="E33" s="17"/>
      <c r="F33" s="17"/>
      <c r="G33" s="17"/>
      <c r="H33" s="18"/>
    </row>
    <row r="34" ht="30.0" customHeight="1">
      <c r="A34" s="69" t="s">
        <v>307</v>
      </c>
      <c r="B34" s="70" t="s">
        <v>308</v>
      </c>
      <c r="C34" s="70" t="s">
        <v>309</v>
      </c>
      <c r="D34" s="70" t="s">
        <v>310</v>
      </c>
      <c r="E34" s="69" t="s">
        <v>70</v>
      </c>
      <c r="F34" s="70" t="s">
        <v>311</v>
      </c>
      <c r="G34" s="71" t="s">
        <v>312</v>
      </c>
      <c r="H34" s="69" t="s">
        <v>313</v>
      </c>
    </row>
    <row r="35" ht="21.75" customHeight="1">
      <c r="A35" s="73">
        <v>1.0</v>
      </c>
      <c r="B35" s="118"/>
      <c r="C35" s="115"/>
      <c r="D35" s="115"/>
      <c r="E35" s="76" t="s">
        <v>70</v>
      </c>
      <c r="F35" s="118"/>
      <c r="G35" s="119"/>
      <c r="H35" s="78" t="str">
        <f t="shared" ref="H35:H38" si="3">IF(AND(B35&lt;&gt;"",G35&lt;&gt;""),IF(LOWER(TRIM(B35))=LOWER(TRIM(G35)),4,IF(LOWER(TRIM(F35))=LOWER(TRIM(G35)),4,0)),"")</f>
        <v/>
      </c>
    </row>
    <row r="36" ht="21.75" customHeight="1">
      <c r="A36" s="82">
        <v>2.0</v>
      </c>
      <c r="B36" s="118"/>
      <c r="C36" s="115"/>
      <c r="D36" s="115"/>
      <c r="E36" s="84" t="s">
        <v>70</v>
      </c>
      <c r="F36" s="118"/>
      <c r="G36" s="119"/>
      <c r="H36" s="78" t="str">
        <f t="shared" si="3"/>
        <v/>
      </c>
    </row>
    <row r="37" ht="21.75" customHeight="1">
      <c r="A37" s="73">
        <v>3.0</v>
      </c>
      <c r="B37" s="118"/>
      <c r="C37" s="115"/>
      <c r="D37" s="115"/>
      <c r="E37" s="76" t="s">
        <v>70</v>
      </c>
      <c r="F37" s="118"/>
      <c r="G37" s="119"/>
      <c r="H37" s="78" t="str">
        <f t="shared" si="3"/>
        <v/>
      </c>
    </row>
    <row r="38" ht="21.75" customHeight="1">
      <c r="A38" s="82">
        <v>4.0</v>
      </c>
      <c r="B38" s="118"/>
      <c r="C38" s="115"/>
      <c r="D38" s="115"/>
      <c r="E38" s="84" t="s">
        <v>70</v>
      </c>
      <c r="F38" s="118"/>
      <c r="G38" s="119"/>
      <c r="H38" s="78" t="str">
        <f t="shared" si="3"/>
        <v/>
      </c>
    </row>
    <row r="39" ht="15.75" customHeight="1"/>
    <row r="40" ht="24.0" customHeight="1">
      <c r="A40" s="98" t="s">
        <v>316</v>
      </c>
      <c r="B40" s="17"/>
      <c r="C40" s="17"/>
      <c r="D40" s="17"/>
      <c r="E40" s="17"/>
      <c r="F40" s="17"/>
      <c r="G40" s="17"/>
      <c r="H40" s="18"/>
    </row>
    <row r="41" ht="30.0" customHeight="1">
      <c r="A41" s="69" t="s">
        <v>307</v>
      </c>
      <c r="B41" s="70" t="s">
        <v>308</v>
      </c>
      <c r="C41" s="70" t="s">
        <v>309</v>
      </c>
      <c r="D41" s="70" t="s">
        <v>310</v>
      </c>
      <c r="E41" s="69" t="s">
        <v>70</v>
      </c>
      <c r="F41" s="70" t="s">
        <v>311</v>
      </c>
      <c r="G41" s="71" t="s">
        <v>312</v>
      </c>
      <c r="H41" s="69" t="s">
        <v>313</v>
      </c>
    </row>
    <row r="42" ht="21.75" customHeight="1">
      <c r="A42" s="73">
        <v>1.0</v>
      </c>
      <c r="B42" s="118"/>
      <c r="C42" s="115"/>
      <c r="D42" s="115"/>
      <c r="E42" s="76" t="s">
        <v>70</v>
      </c>
      <c r="F42" s="118"/>
      <c r="G42" s="119"/>
      <c r="H42" s="78" t="str">
        <f t="shared" ref="H42:H43" si="4">IF(AND(B42&lt;&gt;"",G42&lt;&gt;""),IF(LOWER(TRIM(B42))=LOWER(TRIM(G42)),5,IF(LOWER(TRIM(F42))=LOWER(TRIM(G42)),5,0)),"")</f>
        <v/>
      </c>
    </row>
    <row r="43" ht="21.75" customHeight="1">
      <c r="A43" s="82">
        <v>2.0</v>
      </c>
      <c r="B43" s="118"/>
      <c r="C43" s="115"/>
      <c r="D43" s="115"/>
      <c r="E43" s="84" t="s">
        <v>70</v>
      </c>
      <c r="F43" s="118"/>
      <c r="G43" s="119"/>
      <c r="H43" s="78" t="str">
        <f t="shared" si="4"/>
        <v/>
      </c>
    </row>
    <row r="44" ht="15.75" customHeight="1"/>
    <row r="45" ht="24.0" customHeight="1">
      <c r="A45" s="122" t="s">
        <v>317</v>
      </c>
      <c r="B45" s="17"/>
      <c r="C45" s="17"/>
      <c r="D45" s="17"/>
      <c r="E45" s="17"/>
      <c r="F45" s="17"/>
      <c r="G45" s="17"/>
      <c r="H45" s="18"/>
    </row>
    <row r="46" ht="30.0" customHeight="1">
      <c r="A46" s="69" t="s">
        <v>307</v>
      </c>
      <c r="B46" s="70" t="s">
        <v>308</v>
      </c>
      <c r="C46" s="70" t="s">
        <v>309</v>
      </c>
      <c r="D46" s="70" t="s">
        <v>310</v>
      </c>
      <c r="E46" s="69" t="s">
        <v>70</v>
      </c>
      <c r="F46" s="70" t="s">
        <v>311</v>
      </c>
      <c r="G46" s="71" t="s">
        <v>312</v>
      </c>
      <c r="H46" s="69" t="s">
        <v>313</v>
      </c>
    </row>
    <row r="47" ht="21.75" customHeight="1">
      <c r="A47" s="73">
        <v>1.0</v>
      </c>
      <c r="B47" s="118"/>
      <c r="C47" s="115"/>
      <c r="D47" s="115"/>
      <c r="E47" s="76" t="s">
        <v>70</v>
      </c>
      <c r="F47" s="118"/>
      <c r="G47" s="119"/>
      <c r="H47" s="78" t="str">
        <f>IF(AND(B47&lt;&gt;"",G47&lt;&gt;""),IF(LOWER(TRIM(B47))=LOWER(TRIM(G47)),6,IF(LOWER(TRIM(F47))=LOWER(TRIM(G47)),6,0)),"")</f>
        <v/>
      </c>
    </row>
    <row r="48" ht="15.75" customHeight="1"/>
    <row r="49" ht="24.0" customHeight="1">
      <c r="A49" s="16" t="s">
        <v>318</v>
      </c>
      <c r="B49" s="17"/>
      <c r="C49" s="17"/>
      <c r="D49" s="17"/>
      <c r="E49" s="17"/>
      <c r="F49" s="17"/>
      <c r="G49" s="17"/>
      <c r="H49" s="18"/>
    </row>
    <row r="50" ht="30.0" customHeight="1">
      <c r="A50" s="69" t="s">
        <v>307</v>
      </c>
      <c r="B50" s="70" t="s">
        <v>308</v>
      </c>
      <c r="C50" s="70" t="s">
        <v>309</v>
      </c>
      <c r="D50" s="70" t="s">
        <v>310</v>
      </c>
      <c r="E50" s="69" t="s">
        <v>70</v>
      </c>
      <c r="F50" s="70" t="s">
        <v>311</v>
      </c>
      <c r="G50" s="71" t="s">
        <v>312</v>
      </c>
      <c r="H50" s="69" t="s">
        <v>313</v>
      </c>
    </row>
    <row r="51" ht="21.75" customHeight="1">
      <c r="A51" s="73">
        <v>1.0</v>
      </c>
      <c r="B51" s="118"/>
      <c r="C51" s="115"/>
      <c r="D51" s="115"/>
      <c r="E51" s="76" t="s">
        <v>70</v>
      </c>
      <c r="F51" s="118"/>
      <c r="G51" s="119"/>
      <c r="H51" s="78"/>
    </row>
    <row r="52" ht="15.75" customHeight="1"/>
    <row r="53" ht="25.5" customHeight="1">
      <c r="A53" s="123" t="s">
        <v>319</v>
      </c>
      <c r="B53" s="17"/>
      <c r="C53" s="17"/>
      <c r="D53" s="17"/>
      <c r="E53" s="17"/>
      <c r="F53" s="17"/>
      <c r="G53" s="17"/>
      <c r="H53" s="18"/>
    </row>
    <row r="54" ht="27.75" customHeight="1">
      <c r="A54" s="124"/>
      <c r="B54" s="125" t="s">
        <v>320</v>
      </c>
      <c r="C54" s="124"/>
      <c r="D54" s="124"/>
      <c r="E54" s="124"/>
      <c r="F54" s="124"/>
      <c r="G54" s="126" t="s">
        <v>321</v>
      </c>
      <c r="H54" s="124" t="s">
        <v>224</v>
      </c>
    </row>
    <row r="55" ht="24.0" customHeight="1">
      <c r="A55" s="127" t="s">
        <v>322</v>
      </c>
      <c r="B55" s="128"/>
      <c r="C55" s="17"/>
      <c r="D55" s="17"/>
      <c r="E55" s="17"/>
      <c r="F55" s="18"/>
      <c r="G55" s="78"/>
      <c r="H55" s="78" t="str">
        <f>IF(AND(B55&lt;&gt;"",G55&lt;&gt;""),IF(LOWER(TRIM(B55))=LOWER(TRIM(G55)),5,0),"")</f>
        <v/>
      </c>
    </row>
    <row r="56" ht="15.75" customHeight="1"/>
    <row r="57" ht="25.5" customHeight="1">
      <c r="A57" s="100" t="s">
        <v>323</v>
      </c>
      <c r="B57" s="17"/>
      <c r="C57" s="17"/>
      <c r="D57" s="17"/>
      <c r="E57" s="17"/>
      <c r="F57" s="17"/>
      <c r="G57" s="18"/>
      <c r="H57" s="129">
        <f>IFERROR(SUM(H4:H55),0)</f>
        <v>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9:H49"/>
    <mergeCell ref="A53:H53"/>
    <mergeCell ref="B55:F55"/>
    <mergeCell ref="A57:G57"/>
    <mergeCell ref="A1:H1"/>
    <mergeCell ref="A2:H2"/>
    <mergeCell ref="A3:H3"/>
    <mergeCell ref="A22:H22"/>
    <mergeCell ref="A33:H33"/>
    <mergeCell ref="A40:H40"/>
    <mergeCell ref="A45:H45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6.0"/>
    <col customWidth="1" min="3" max="7" width="14.0"/>
    <col customWidth="1" min="8" max="26" width="8.71"/>
  </cols>
  <sheetData>
    <row r="1" ht="36.0" customHeight="1">
      <c r="A1" s="116" t="s">
        <v>324</v>
      </c>
      <c r="B1" s="2"/>
      <c r="C1" s="2"/>
      <c r="D1" s="2"/>
      <c r="E1" s="2"/>
      <c r="F1" s="2"/>
      <c r="G1" s="3"/>
    </row>
    <row r="2" ht="30.0" customHeight="1">
      <c r="A2" s="117" t="s">
        <v>325</v>
      </c>
      <c r="B2" s="17"/>
      <c r="C2" s="17"/>
      <c r="D2" s="17"/>
      <c r="E2" s="17"/>
      <c r="F2" s="17"/>
      <c r="G2" s="18"/>
    </row>
    <row r="3" ht="24.0" customHeight="1">
      <c r="A3" s="130" t="s">
        <v>326</v>
      </c>
      <c r="B3" s="130" t="s">
        <v>327</v>
      </c>
      <c r="C3" s="130" t="s">
        <v>328</v>
      </c>
      <c r="D3" s="130" t="s">
        <v>329</v>
      </c>
      <c r="E3" s="130" t="s">
        <v>330</v>
      </c>
      <c r="F3" s="130" t="s">
        <v>331</v>
      </c>
      <c r="G3" s="130" t="s">
        <v>332</v>
      </c>
    </row>
    <row r="4" ht="21.75" customHeight="1">
      <c r="A4" s="131">
        <v>1.0</v>
      </c>
      <c r="B4" s="132" t="s">
        <v>333</v>
      </c>
      <c r="C4" s="133">
        <v>0.0</v>
      </c>
      <c r="D4" s="133">
        <v>0.0</v>
      </c>
      <c r="E4" s="133">
        <v>0.0</v>
      </c>
      <c r="F4" s="134">
        <f t="shared" ref="F4:F23" si="1">C4+D4+E4</f>
        <v>0</v>
      </c>
      <c r="G4" s="135">
        <f>IFERROR(RANK(F4,F4:F23,0),"-")</f>
        <v>1</v>
      </c>
    </row>
    <row r="5" ht="21.75" customHeight="1">
      <c r="A5" s="136">
        <v>2.0</v>
      </c>
      <c r="B5" s="118"/>
      <c r="C5" s="133">
        <v>0.0</v>
      </c>
      <c r="D5" s="133">
        <v>0.0</v>
      </c>
      <c r="E5" s="133">
        <v>0.0</v>
      </c>
      <c r="F5" s="134">
        <f t="shared" si="1"/>
        <v>0</v>
      </c>
      <c r="G5" s="137">
        <f>IFERROR(RANK(F5,F4:F23,0),"-")</f>
        <v>1</v>
      </c>
    </row>
    <row r="6" ht="21.75" customHeight="1">
      <c r="A6" s="131">
        <v>3.0</v>
      </c>
      <c r="B6" s="118"/>
      <c r="C6" s="133">
        <v>0.0</v>
      </c>
      <c r="D6" s="133">
        <v>0.0</v>
      </c>
      <c r="E6" s="133">
        <v>0.0</v>
      </c>
      <c r="F6" s="134">
        <f t="shared" si="1"/>
        <v>0</v>
      </c>
      <c r="G6" s="135">
        <f>IFERROR(RANK(F6,F4:F23,0),"-")</f>
        <v>1</v>
      </c>
    </row>
    <row r="7" ht="21.75" customHeight="1">
      <c r="A7" s="136">
        <v>4.0</v>
      </c>
      <c r="B7" s="118"/>
      <c r="C7" s="133">
        <v>0.0</v>
      </c>
      <c r="D7" s="133">
        <v>0.0</v>
      </c>
      <c r="E7" s="133">
        <v>0.0</v>
      </c>
      <c r="F7" s="134">
        <f t="shared" si="1"/>
        <v>0</v>
      </c>
      <c r="G7" s="137">
        <f>IFERROR(RANK(F7,F4:F23,0),"-")</f>
        <v>1</v>
      </c>
    </row>
    <row r="8" ht="21.75" customHeight="1">
      <c r="A8" s="131">
        <v>5.0</v>
      </c>
      <c r="B8" s="118"/>
      <c r="C8" s="133">
        <v>0.0</v>
      </c>
      <c r="D8" s="133">
        <v>0.0</v>
      </c>
      <c r="E8" s="133">
        <v>0.0</v>
      </c>
      <c r="F8" s="134">
        <f t="shared" si="1"/>
        <v>0</v>
      </c>
      <c r="G8" s="135">
        <f>IFERROR(RANK(F8,F4:F23,0),"-")</f>
        <v>1</v>
      </c>
    </row>
    <row r="9" ht="21.75" customHeight="1">
      <c r="A9" s="136">
        <v>6.0</v>
      </c>
      <c r="B9" s="118"/>
      <c r="C9" s="133">
        <v>0.0</v>
      </c>
      <c r="D9" s="133">
        <v>0.0</v>
      </c>
      <c r="E9" s="133">
        <v>0.0</v>
      </c>
      <c r="F9" s="134">
        <f t="shared" si="1"/>
        <v>0</v>
      </c>
      <c r="G9" s="137">
        <f>IFERROR(RANK(F9,F4:F23,0),"-")</f>
        <v>1</v>
      </c>
    </row>
    <row r="10" ht="21.75" customHeight="1">
      <c r="A10" s="131">
        <v>7.0</v>
      </c>
      <c r="B10" s="118"/>
      <c r="C10" s="133">
        <v>0.0</v>
      </c>
      <c r="D10" s="133">
        <v>0.0</v>
      </c>
      <c r="E10" s="133">
        <v>0.0</v>
      </c>
      <c r="F10" s="134">
        <f t="shared" si="1"/>
        <v>0</v>
      </c>
      <c r="G10" s="135">
        <f>IFERROR(RANK(F10,F4:F23,0),"-")</f>
        <v>1</v>
      </c>
    </row>
    <row r="11" ht="21.75" customHeight="1">
      <c r="A11" s="136">
        <v>8.0</v>
      </c>
      <c r="B11" s="118"/>
      <c r="C11" s="133">
        <v>0.0</v>
      </c>
      <c r="D11" s="133">
        <v>0.0</v>
      </c>
      <c r="E11" s="133">
        <v>0.0</v>
      </c>
      <c r="F11" s="134">
        <f t="shared" si="1"/>
        <v>0</v>
      </c>
      <c r="G11" s="137">
        <f>IFERROR(RANK(F11,F4:F23,0),"-")</f>
        <v>1</v>
      </c>
    </row>
    <row r="12" ht="21.75" customHeight="1">
      <c r="A12" s="131">
        <v>9.0</v>
      </c>
      <c r="B12" s="118"/>
      <c r="C12" s="133">
        <v>0.0</v>
      </c>
      <c r="D12" s="133">
        <v>0.0</v>
      </c>
      <c r="E12" s="133">
        <v>0.0</v>
      </c>
      <c r="F12" s="134">
        <f t="shared" si="1"/>
        <v>0</v>
      </c>
      <c r="G12" s="135">
        <f>IFERROR(RANK(F12,F4:F23,0),"-")</f>
        <v>1</v>
      </c>
    </row>
    <row r="13" ht="21.75" customHeight="1">
      <c r="A13" s="136">
        <v>10.0</v>
      </c>
      <c r="B13" s="118"/>
      <c r="C13" s="133">
        <v>0.0</v>
      </c>
      <c r="D13" s="133">
        <v>0.0</v>
      </c>
      <c r="E13" s="133">
        <v>0.0</v>
      </c>
      <c r="F13" s="134">
        <f t="shared" si="1"/>
        <v>0</v>
      </c>
      <c r="G13" s="137">
        <f>IFERROR(RANK(F13,F4:F23,0),"-")</f>
        <v>1</v>
      </c>
    </row>
    <row r="14" ht="21.75" customHeight="1">
      <c r="A14" s="131">
        <v>11.0</v>
      </c>
      <c r="B14" s="118"/>
      <c r="C14" s="133">
        <v>0.0</v>
      </c>
      <c r="D14" s="133">
        <v>0.0</v>
      </c>
      <c r="E14" s="133">
        <v>0.0</v>
      </c>
      <c r="F14" s="134">
        <f t="shared" si="1"/>
        <v>0</v>
      </c>
      <c r="G14" s="135">
        <f>IFERROR(RANK(F14,F4:F23,0),"-")</f>
        <v>1</v>
      </c>
    </row>
    <row r="15" ht="21.75" customHeight="1">
      <c r="A15" s="136">
        <v>12.0</v>
      </c>
      <c r="B15" s="118"/>
      <c r="C15" s="133">
        <v>0.0</v>
      </c>
      <c r="D15" s="133">
        <v>0.0</v>
      </c>
      <c r="E15" s="133">
        <v>0.0</v>
      </c>
      <c r="F15" s="134">
        <f t="shared" si="1"/>
        <v>0</v>
      </c>
      <c r="G15" s="137">
        <f>IFERROR(RANK(F15,F4:F23,0),"-")</f>
        <v>1</v>
      </c>
    </row>
    <row r="16" ht="21.75" customHeight="1">
      <c r="A16" s="131">
        <v>13.0</v>
      </c>
      <c r="B16" s="118"/>
      <c r="C16" s="133">
        <v>0.0</v>
      </c>
      <c r="D16" s="133">
        <v>0.0</v>
      </c>
      <c r="E16" s="133">
        <v>0.0</v>
      </c>
      <c r="F16" s="134">
        <f t="shared" si="1"/>
        <v>0</v>
      </c>
      <c r="G16" s="135">
        <f>IFERROR(RANK(F16,F4:F23,0),"-")</f>
        <v>1</v>
      </c>
    </row>
    <row r="17" ht="21.75" customHeight="1">
      <c r="A17" s="136">
        <v>14.0</v>
      </c>
      <c r="B17" s="118"/>
      <c r="C17" s="133">
        <v>0.0</v>
      </c>
      <c r="D17" s="133">
        <v>0.0</v>
      </c>
      <c r="E17" s="133">
        <v>0.0</v>
      </c>
      <c r="F17" s="134">
        <f t="shared" si="1"/>
        <v>0</v>
      </c>
      <c r="G17" s="137">
        <f>IFERROR(RANK(F17,F4:F23,0),"-")</f>
        <v>1</v>
      </c>
    </row>
    <row r="18" ht="21.75" customHeight="1">
      <c r="A18" s="131">
        <v>15.0</v>
      </c>
      <c r="B18" s="118"/>
      <c r="C18" s="133">
        <v>0.0</v>
      </c>
      <c r="D18" s="133">
        <v>0.0</v>
      </c>
      <c r="E18" s="133">
        <v>0.0</v>
      </c>
      <c r="F18" s="134">
        <f t="shared" si="1"/>
        <v>0</v>
      </c>
      <c r="G18" s="135">
        <f>IFERROR(RANK(F18,F4:F23,0),"-")</f>
        <v>1</v>
      </c>
    </row>
    <row r="19" ht="21.75" customHeight="1">
      <c r="A19" s="136">
        <v>16.0</v>
      </c>
      <c r="B19" s="118"/>
      <c r="C19" s="133">
        <v>0.0</v>
      </c>
      <c r="D19" s="133">
        <v>0.0</v>
      </c>
      <c r="E19" s="133">
        <v>0.0</v>
      </c>
      <c r="F19" s="134">
        <f t="shared" si="1"/>
        <v>0</v>
      </c>
      <c r="G19" s="137">
        <f>IFERROR(RANK(F19,F4:F23,0),"-")</f>
        <v>1</v>
      </c>
    </row>
    <row r="20" ht="21.75" customHeight="1">
      <c r="A20" s="131">
        <v>17.0</v>
      </c>
      <c r="B20" s="118"/>
      <c r="C20" s="133">
        <v>0.0</v>
      </c>
      <c r="D20" s="133">
        <v>0.0</v>
      </c>
      <c r="E20" s="133">
        <v>0.0</v>
      </c>
      <c r="F20" s="134">
        <f t="shared" si="1"/>
        <v>0</v>
      </c>
      <c r="G20" s="135">
        <f>IFERROR(RANK(F20,F4:F23,0),"-")</f>
        <v>1</v>
      </c>
    </row>
    <row r="21" ht="21.75" customHeight="1">
      <c r="A21" s="136">
        <v>18.0</v>
      </c>
      <c r="B21" s="118"/>
      <c r="C21" s="133">
        <v>0.0</v>
      </c>
      <c r="D21" s="133">
        <v>0.0</v>
      </c>
      <c r="E21" s="133">
        <v>0.0</v>
      </c>
      <c r="F21" s="134">
        <f t="shared" si="1"/>
        <v>0</v>
      </c>
      <c r="G21" s="137">
        <f>IFERROR(RANK(F21,F4:F23,0),"-")</f>
        <v>1</v>
      </c>
    </row>
    <row r="22" ht="21.75" customHeight="1">
      <c r="A22" s="131">
        <v>19.0</v>
      </c>
      <c r="B22" s="118"/>
      <c r="C22" s="133">
        <v>0.0</v>
      </c>
      <c r="D22" s="133">
        <v>0.0</v>
      </c>
      <c r="E22" s="133">
        <v>0.0</v>
      </c>
      <c r="F22" s="134">
        <f t="shared" si="1"/>
        <v>0</v>
      </c>
      <c r="G22" s="135">
        <f>IFERROR(RANK(F22,F4:F23,0),"-")</f>
        <v>1</v>
      </c>
    </row>
    <row r="23" ht="21.75" customHeight="1">
      <c r="A23" s="136">
        <v>20.0</v>
      </c>
      <c r="B23" s="118"/>
      <c r="C23" s="133">
        <v>0.0</v>
      </c>
      <c r="D23" s="133">
        <v>0.0</v>
      </c>
      <c r="E23" s="133">
        <v>0.0</v>
      </c>
      <c r="F23" s="134">
        <f t="shared" si="1"/>
        <v>0</v>
      </c>
      <c r="G23" s="137">
        <f>IFERROR(RANK(F23,F4:F23,0),"-")</f>
        <v>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2026-05-25T07:16:32Z</dcterms:created>
  <dc:creator>openpyxl</dc:creator>
</cp:coreProperties>
</file>